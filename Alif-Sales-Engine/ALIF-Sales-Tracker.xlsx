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 - Outreach" sheetId="1" r:id="rId1"/>
    <sheet name="2 - Conversion" sheetId="2" r:id="rId2"/>
    <sheet name="3 - Pipeline" sheetId="3" r:id="rId3"/>
    <sheet name="Dashboard" sheetId="4" r:id="rId4"/>
  </sheets>
</workbook>
</file>

<file path=xl/styles.xml><?xml version="1.0" encoding="utf-8"?>
<styleSheet xmlns="http://schemas.openxmlformats.org/spreadsheetml/2006/main">
  <numFmts count="2">
    <numFmt numFmtId="14" formatCode="dd/mm/yyyy"/>
    <numFmt numFmtId="164" formatCode="0%"/>
  </numFmts>
  <fonts count="3">
    <font>
      <sz val="10"/>
      <name val="Calibri"/>
      <color rgb="FF333333"/>
    </font>
    <font>
      <b/>
      <sz val="10"/>
      <name val="Calibri"/>
      <color rgb="FF1A1A1A"/>
    </font>
    <font>
      <b/>
      <sz val="10"/>
      <name val="Calibri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3A3A3A"/>
        <bgColor indexed="64"/>
      </patternFill>
    </fill>
    <fill>
      <patternFill patternType="solid">
        <fgColor rgb="FFD9D5CF"/>
        <bgColor indexed="64"/>
      </patternFill>
    </fill>
    <fill>
      <patternFill patternType="solid">
        <fgColor rgb="FFEDEBE7"/>
        <bgColor indexed="64"/>
      </patternFill>
    </fill>
    <fill>
      <patternFill patternType="solid">
        <fgColor rgb="FFC9C5BE"/>
        <bgColor indexed="64"/>
      </patternFill>
    </fill>
    <fill>
      <patternFill patternType="solid">
        <fgColor rgb="FFF5F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0" fillId="6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2"/>
    <col min="2" max="2" width="7"/>
    <col min="3" max="3" width="7"/>
    <col min="4" max="4" width="18"/>
    <col min="5" max="5" width="13"/>
    <col min="6" max="8" width="11"/>
    <col min="9" max="9" width="12"/>
    <col min="10" max="12" width="12"/>
    <col min="13" max="14" width="13"/>
    <col min="15" max="15" width="14"/>
    <col min="16" max="16" width="28"/>
  </cols>
  <sheetData>
    <row r="1" s="3" customFormat="1">
      <c r="A1" t="inlineStr" s="3">
        <is>
          <t>ALIF AGENCY - OUTREACH TRACKER - Weekly + Daily Activity</t>
        </is>
      </c>
    </row>
    <row r="2" s="7" customFormat="1">
      <c r="A2" t="inlineStr">
        <is>
          <t>TARGETS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300+ emails/wk</t>
        </is>
      </c>
      <c r="F2" t="inlineStr">
        <is>
          <t>&gt;35% open</t>
        </is>
      </c>
      <c r="G2" t="inlineStr">
        <is>
          <t>&gt;5% reply</t>
        </is>
      </c>
      <c r="H2" t="inlineStr">
        <is>
          <t>&gt;3% pos</t>
        </is>
      </c>
      <c r="I2" t="inlineStr">
        <is>
          <t/>
        </is>
      </c>
      <c r="J2" t="inlineStr">
        <is>
          <t>80 calls/day</t>
        </is>
      </c>
      <c r="K2" t="inlineStr">
        <is>
          <t>&gt;15% conv rate</t>
        </is>
      </c>
      <c r="L2" t="inlineStr">
        <is>
          <t/>
        </is>
      </c>
      <c r="M2" t="inlineStr">
        <is>
          <t>50+ connects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 s="4" customFormat="1">
      <c r="A3" t="inlineStr">
        <is>
          <t>DATE</t>
        </is>
      </c>
      <c r="B3" t="inlineStr">
        <is>
          <t>WEEK</t>
        </is>
      </c>
      <c r="C3" t="inlineStr">
        <is>
          <t>DAY</t>
        </is>
      </c>
      <c r="D3" t="inlineStr">
        <is>
          <t>CHANNEL</t>
        </is>
      </c>
      <c r="E3" t="inlineStr">
        <is>
          <t>EMAILS SENT</t>
        </is>
      </c>
      <c r="F3" t="inlineStr">
        <is>
          <t>OPEN RATE</t>
        </is>
      </c>
      <c r="G3" t="inlineStr">
        <is>
          <t>REPLY RATE</t>
        </is>
      </c>
      <c r="H3" t="inlineStr">
        <is>
          <t>POS REPLY %</t>
        </is>
      </c>
      <c r="I3" t="inlineStr">
        <is>
          <t>POS REPLIES</t>
        </is>
      </c>
      <c r="J3" t="inlineStr">
        <is>
          <t>CALLS MADE</t>
        </is>
      </c>
      <c r="K3" t="inlineStr">
        <is>
          <t>CONVOS</t>
        </is>
      </c>
      <c r="L3" t="inlineStr">
        <is>
          <t>ANSWER RATE</t>
        </is>
      </c>
      <c r="M3" t="inlineStr">
        <is>
          <t>LI CONNECTS</t>
        </is>
      </c>
      <c r="N3" t="inlineStr">
        <is>
          <t>LI REPLIES</t>
        </is>
      </c>
      <c r="O3" t="inlineStr">
        <is>
          <t>TOTAL TOUCHES</t>
        </is>
      </c>
      <c r="P3" t="inlineStr">
        <is>
          <t>NOTES</t>
        </is>
      </c>
    </row>
    <row r="4" s="5" customFormat="1">
      <c r="A4" t="inlineStr">
        <is>
          <t>WEEK 1  -  06 Jul to 10 Jul 2026</t>
        </is>
      </c>
    </row>
    <row r="5">
      <c r="A5" s="1">
        <v>46209</v>
      </c>
      <c r="B5" t="inlineStr">
        <is>
          <t>W1</t>
        </is>
      </c>
      <c r="C5" t="inlineStr">
        <is>
          <t>Mon</t>
        </is>
      </c>
      <c r="D5" t="inlineStr">
        <is>
          <t>Email / Calls / LI</t>
        </is>
      </c>
      <c r="E5">
        <v>0</v>
      </c>
      <c r="I5">
        <v>0</v>
      </c>
      <c r="J5">
        <v>0</v>
      </c>
      <c r="K5">
        <v>0</v>
      </c>
      <c r="M5">
        <v>0</v>
      </c>
      <c r="N5">
        <v>0</v>
      </c>
      <c r="F5" s="2">
        <v>0</v>
      </c>
      <c r="G5" s="2">
        <v>0</v>
      </c>
      <c r="H5" s="2">
        <v>0</v>
      </c>
      <c r="L5">
        <f>IF(J5=0,"",K5/J5)</f>
      </c>
      <c r="O5">
        <f>IF(SUM(E5,J5,M5,N5)=0,"",SUM(E5,J5,M5,N5))</f>
      </c>
      <c r="P5" t="inlineStr">
        <is>
          <t/>
        </is>
      </c>
    </row>
    <row r="6">
      <c r="A6" s="1">
        <v>46210</v>
      </c>
      <c r="B6" t="inlineStr">
        <is>
          <t>W1</t>
        </is>
      </c>
      <c r="C6" t="inlineStr">
        <is>
          <t>Tue</t>
        </is>
      </c>
      <c r="D6" t="inlineStr">
        <is>
          <t>Email / Calls / LI</t>
        </is>
      </c>
      <c r="E6">
        <v>0</v>
      </c>
      <c r="I6">
        <v>0</v>
      </c>
      <c r="J6">
        <v>0</v>
      </c>
      <c r="K6">
        <v>0</v>
      </c>
      <c r="M6">
        <v>0</v>
      </c>
      <c r="N6">
        <v>0</v>
      </c>
      <c r="F6" s="2">
        <v>0</v>
      </c>
      <c r="G6" s="2">
        <v>0</v>
      </c>
      <c r="H6" s="2">
        <v>0</v>
      </c>
      <c r="L6">
        <f>IF(J6=0,"",K6/J6)</f>
      </c>
      <c r="O6">
        <f>IF(SUM(E6,J6,M6,N6)=0,"",SUM(E6,J6,M6,N6))</f>
      </c>
      <c r="P6" t="inlineStr">
        <is>
          <t/>
        </is>
      </c>
    </row>
    <row r="7">
      <c r="A7" s="1">
        <v>46211</v>
      </c>
      <c r="B7" t="inlineStr">
        <is>
          <t>W1</t>
        </is>
      </c>
      <c r="C7" t="inlineStr">
        <is>
          <t>Wed</t>
        </is>
      </c>
      <c r="D7" t="inlineStr">
        <is>
          <t>Email / Calls / LI</t>
        </is>
      </c>
      <c r="E7">
        <v>0</v>
      </c>
      <c r="I7">
        <v>0</v>
      </c>
      <c r="J7">
        <v>0</v>
      </c>
      <c r="K7">
        <v>0</v>
      </c>
      <c r="M7">
        <v>0</v>
      </c>
      <c r="N7">
        <v>0</v>
      </c>
      <c r="F7" s="2">
        <v>0</v>
      </c>
      <c r="G7" s="2">
        <v>0</v>
      </c>
      <c r="H7" s="2">
        <v>0</v>
      </c>
      <c r="L7">
        <f>IF(J7=0,"",K7/J7)</f>
      </c>
      <c r="O7">
        <f>IF(SUM(E7,J7,M7,N7)=0,"",SUM(E7,J7,M7,N7))</f>
      </c>
      <c r="P7" t="inlineStr">
        <is>
          <t/>
        </is>
      </c>
    </row>
    <row r="8">
      <c r="A8" s="1">
        <v>46212</v>
      </c>
      <c r="B8" t="inlineStr">
        <is>
          <t>W1</t>
        </is>
      </c>
      <c r="C8" t="inlineStr">
        <is>
          <t>Thu</t>
        </is>
      </c>
      <c r="D8" t="inlineStr">
        <is>
          <t>Email / Calls / LI</t>
        </is>
      </c>
      <c r="E8">
        <v>0</v>
      </c>
      <c r="I8">
        <v>0</v>
      </c>
      <c r="J8">
        <v>0</v>
      </c>
      <c r="K8">
        <v>0</v>
      </c>
      <c r="M8">
        <v>0</v>
      </c>
      <c r="N8">
        <v>0</v>
      </c>
      <c r="F8" s="2">
        <v>0</v>
      </c>
      <c r="G8" s="2">
        <v>0</v>
      </c>
      <c r="H8" s="2">
        <v>0</v>
      </c>
      <c r="L8">
        <f>IF(J8=0,"",K8/J8)</f>
      </c>
      <c r="O8">
        <f>IF(SUM(E8,J8,M8,N8)=0,"",SUM(E8,J8,M8,N8))</f>
      </c>
      <c r="P8" t="inlineStr">
        <is>
          <t/>
        </is>
      </c>
    </row>
    <row r="9">
      <c r="A9" s="1">
        <v>46213</v>
      </c>
      <c r="B9" t="inlineStr">
        <is>
          <t>W1</t>
        </is>
      </c>
      <c r="C9" t="inlineStr">
        <is>
          <t>Fri</t>
        </is>
      </c>
      <c r="D9" t="inlineStr">
        <is>
          <t>Email / Calls / LI</t>
        </is>
      </c>
      <c r="E9">
        <v>0</v>
      </c>
      <c r="I9">
        <v>0</v>
      </c>
      <c r="J9">
        <v>0</v>
      </c>
      <c r="K9">
        <v>0</v>
      </c>
      <c r="M9">
        <v>0</v>
      </c>
      <c r="N9">
        <v>0</v>
      </c>
      <c r="F9" s="2">
        <v>0</v>
      </c>
      <c r="G9" s="2">
        <v>0</v>
      </c>
      <c r="H9" s="2">
        <v>0</v>
      </c>
      <c r="L9">
        <f>IF(J9=0,"",K9/J9)</f>
      </c>
      <c r="O9">
        <f>IF(SUM(E9,J9,M9,N9)=0,"",SUM(E9,J9,M9,N9))</f>
      </c>
      <c r="P9" t="inlineStr">
        <is>
          <t/>
        </is>
      </c>
    </row>
    <row r="10" s="6" customFormat="1">
      <c r="A10" t="inlineStr">
        <is>
          <t>WK 1 TOTAL</t>
        </is>
      </c>
      <c r="E10">
        <f>SUM(E5:E9)</f>
      </c>
      <c r="I10">
        <f>SUM(I5:I9)</f>
      </c>
      <c r="J10">
        <f>SUM(J5:J9)</f>
      </c>
      <c r="K10">
        <f>SUM(K5:K9)</f>
      </c>
      <c r="M10">
        <f>SUM(M5:M9)</f>
      </c>
      <c r="N10">
        <f>SUM(N5:N9)</f>
      </c>
      <c r="O10">
        <f>SUM(O5:O9)</f>
      </c>
      <c r="F10">
        <f>IFERROR(AVERAGEIF(F5:F9,"&gt;0"),"")</f>
      </c>
      <c r="G10">
        <f>IFERROR(AVERAGEIF(G5:G9,"&gt;0"),"")</f>
      </c>
      <c r="H10">
        <f>IFERROR(AVERAGEIF(H5:H9,"&gt;0"),"")</f>
      </c>
      <c r="L10">
        <f>IFERROR(AVERAGEIF(L5:L9,"&gt;0"),"")</f>
      </c>
    </row>
    <row r="12" s="5" customFormat="1">
      <c r="A12" t="inlineStr">
        <is>
          <t>WEEK 2  -  13 Jul to 17 Jul 2026</t>
        </is>
      </c>
    </row>
    <row r="13">
      <c r="A13" s="1">
        <v>46216</v>
      </c>
      <c r="B13" t="inlineStr">
        <is>
          <t>W2</t>
        </is>
      </c>
      <c r="C13" t="inlineStr">
        <is>
          <t>Mon</t>
        </is>
      </c>
      <c r="D13" t="inlineStr">
        <is>
          <t>Email / Calls / LI</t>
        </is>
      </c>
      <c r="E13">
        <v>0</v>
      </c>
      <c r="I13">
        <v>0</v>
      </c>
      <c r="J13">
        <v>0</v>
      </c>
      <c r="K13">
        <v>0</v>
      </c>
      <c r="M13">
        <v>0</v>
      </c>
      <c r="N13">
        <v>0</v>
      </c>
      <c r="F13" s="2">
        <v>0</v>
      </c>
      <c r="G13" s="2">
        <v>0</v>
      </c>
      <c r="H13" s="2">
        <v>0</v>
      </c>
      <c r="L13">
        <f>IF(J13=0,"",K13/J13)</f>
      </c>
      <c r="O13">
        <f>IF(SUM(E13,J13,M13,N13)=0,"",SUM(E13,J13,M13,N13))</f>
      </c>
      <c r="P13" t="inlineStr">
        <is>
          <t/>
        </is>
      </c>
    </row>
    <row r="14">
      <c r="A14" s="1">
        <v>46217</v>
      </c>
      <c r="B14" t="inlineStr">
        <is>
          <t>W2</t>
        </is>
      </c>
      <c r="C14" t="inlineStr">
        <is>
          <t>Tue</t>
        </is>
      </c>
      <c r="D14" t="inlineStr">
        <is>
          <t>Email / Calls / LI</t>
        </is>
      </c>
      <c r="E14">
        <v>0</v>
      </c>
      <c r="I14">
        <v>0</v>
      </c>
      <c r="J14">
        <v>0</v>
      </c>
      <c r="K14">
        <v>0</v>
      </c>
      <c r="M14">
        <v>0</v>
      </c>
      <c r="N14">
        <v>0</v>
      </c>
      <c r="F14" s="2">
        <v>0</v>
      </c>
      <c r="G14" s="2">
        <v>0</v>
      </c>
      <c r="H14" s="2">
        <v>0</v>
      </c>
      <c r="L14">
        <f>IF(J14=0,"",K14/J14)</f>
      </c>
      <c r="O14">
        <f>IF(SUM(E14,J14,M14,N14)=0,"",SUM(E14,J14,M14,N14))</f>
      </c>
      <c r="P14" t="inlineStr">
        <is>
          <t/>
        </is>
      </c>
    </row>
    <row r="15">
      <c r="A15" s="1">
        <v>46218</v>
      </c>
      <c r="B15" t="inlineStr">
        <is>
          <t>W2</t>
        </is>
      </c>
      <c r="C15" t="inlineStr">
        <is>
          <t>Wed</t>
        </is>
      </c>
      <c r="D15" t="inlineStr">
        <is>
          <t>Email / Calls / LI</t>
        </is>
      </c>
      <c r="E15">
        <v>0</v>
      </c>
      <c r="I15">
        <v>0</v>
      </c>
      <c r="J15">
        <v>0</v>
      </c>
      <c r="K15">
        <v>0</v>
      </c>
      <c r="M15">
        <v>0</v>
      </c>
      <c r="N15">
        <v>0</v>
      </c>
      <c r="F15" s="2">
        <v>0</v>
      </c>
      <c r="G15" s="2">
        <v>0</v>
      </c>
      <c r="H15" s="2">
        <v>0</v>
      </c>
      <c r="L15">
        <f>IF(J15=0,"",K15/J15)</f>
      </c>
      <c r="O15">
        <f>IF(SUM(E15,J15,M15,N15)=0,"",SUM(E15,J15,M15,N15))</f>
      </c>
      <c r="P15" t="inlineStr">
        <is>
          <t/>
        </is>
      </c>
    </row>
    <row r="16">
      <c r="A16" s="1">
        <v>46219</v>
      </c>
      <c r="B16" t="inlineStr">
        <is>
          <t>W2</t>
        </is>
      </c>
      <c r="C16" t="inlineStr">
        <is>
          <t>Thu</t>
        </is>
      </c>
      <c r="D16" t="inlineStr">
        <is>
          <t>Email / Calls / LI</t>
        </is>
      </c>
      <c r="E16">
        <v>0</v>
      </c>
      <c r="I16">
        <v>0</v>
      </c>
      <c r="J16">
        <v>0</v>
      </c>
      <c r="K16">
        <v>0</v>
      </c>
      <c r="M16">
        <v>0</v>
      </c>
      <c r="N16">
        <v>0</v>
      </c>
      <c r="F16" s="2">
        <v>0</v>
      </c>
      <c r="G16" s="2">
        <v>0</v>
      </c>
      <c r="H16" s="2">
        <v>0</v>
      </c>
      <c r="L16">
        <f>IF(J16=0,"",K16/J16)</f>
      </c>
      <c r="O16">
        <f>IF(SUM(E16,J16,M16,N16)=0,"",SUM(E16,J16,M16,N16))</f>
      </c>
      <c r="P16" t="inlineStr">
        <is>
          <t/>
        </is>
      </c>
    </row>
    <row r="17">
      <c r="A17" s="1">
        <v>46220</v>
      </c>
      <c r="B17" t="inlineStr">
        <is>
          <t>W2</t>
        </is>
      </c>
      <c r="C17" t="inlineStr">
        <is>
          <t>Fri</t>
        </is>
      </c>
      <c r="D17" t="inlineStr">
        <is>
          <t>Email / Calls / LI</t>
        </is>
      </c>
      <c r="E17">
        <v>0</v>
      </c>
      <c r="I17">
        <v>0</v>
      </c>
      <c r="J17">
        <v>0</v>
      </c>
      <c r="K17">
        <v>0</v>
      </c>
      <c r="M17">
        <v>0</v>
      </c>
      <c r="N17">
        <v>0</v>
      </c>
      <c r="F17" s="2">
        <v>0</v>
      </c>
      <c r="G17" s="2">
        <v>0</v>
      </c>
      <c r="H17" s="2">
        <v>0</v>
      </c>
      <c r="L17">
        <f>IF(J17=0,"",K17/J17)</f>
      </c>
      <c r="O17">
        <f>IF(SUM(E17,J17,M17,N17)=0,"",SUM(E17,J17,M17,N17))</f>
      </c>
      <c r="P17" t="inlineStr">
        <is>
          <t/>
        </is>
      </c>
    </row>
    <row r="18" s="6" customFormat="1">
      <c r="A18" t="inlineStr">
        <is>
          <t>WK 2 TOTAL</t>
        </is>
      </c>
      <c r="E18">
        <f>SUM(E13:E17)</f>
      </c>
      <c r="I18">
        <f>SUM(I13:I17)</f>
      </c>
      <c r="J18">
        <f>SUM(J13:J17)</f>
      </c>
      <c r="K18">
        <f>SUM(K13:K17)</f>
      </c>
      <c r="M18">
        <f>SUM(M13:M17)</f>
      </c>
      <c r="N18">
        <f>SUM(N13:N17)</f>
      </c>
      <c r="O18">
        <f>SUM(O13:O17)</f>
      </c>
      <c r="F18">
        <f>IFERROR(AVERAGEIF(F13:F17,"&gt;0"),"")</f>
      </c>
      <c r="G18">
        <f>IFERROR(AVERAGEIF(G13:G17,"&gt;0"),"")</f>
      </c>
      <c r="H18">
        <f>IFERROR(AVERAGEIF(H13:H17,"&gt;0"),"")</f>
      </c>
      <c r="L18">
        <f>IFERROR(AVERAGEIF(L13:L17,"&gt;0"),"")</f>
      </c>
    </row>
    <row r="20" s="5" customFormat="1">
      <c r="A20" t="inlineStr">
        <is>
          <t>WEEK 3  -  20 Jul to 24 Jul 2026</t>
        </is>
      </c>
    </row>
    <row r="21">
      <c r="A21" s="1">
        <v>46223</v>
      </c>
      <c r="B21" t="inlineStr">
        <is>
          <t>W3</t>
        </is>
      </c>
      <c r="C21" t="inlineStr">
        <is>
          <t>Mon</t>
        </is>
      </c>
      <c r="D21" t="inlineStr">
        <is>
          <t>Email / Calls / LI</t>
        </is>
      </c>
      <c r="E21">
        <v>0</v>
      </c>
      <c r="I21">
        <v>0</v>
      </c>
      <c r="J21">
        <v>0</v>
      </c>
      <c r="K21">
        <v>0</v>
      </c>
      <c r="M21">
        <v>0</v>
      </c>
      <c r="N21">
        <v>0</v>
      </c>
      <c r="F21" s="2">
        <v>0</v>
      </c>
      <c r="G21" s="2">
        <v>0</v>
      </c>
      <c r="H21" s="2">
        <v>0</v>
      </c>
      <c r="L21">
        <f>IF(J21=0,"",K21/J21)</f>
      </c>
      <c r="O21">
        <f>IF(SUM(E21,J21,M21,N21)=0,"",SUM(E21,J21,M21,N21))</f>
      </c>
      <c r="P21" t="inlineStr">
        <is>
          <t/>
        </is>
      </c>
    </row>
    <row r="22">
      <c r="A22" s="1">
        <v>46224</v>
      </c>
      <c r="B22" t="inlineStr">
        <is>
          <t>W3</t>
        </is>
      </c>
      <c r="C22" t="inlineStr">
        <is>
          <t>Tue</t>
        </is>
      </c>
      <c r="D22" t="inlineStr">
        <is>
          <t>Email / Calls / LI</t>
        </is>
      </c>
      <c r="E22">
        <v>0</v>
      </c>
      <c r="I22">
        <v>0</v>
      </c>
      <c r="J22">
        <v>0</v>
      </c>
      <c r="K22">
        <v>0</v>
      </c>
      <c r="M22">
        <v>0</v>
      </c>
      <c r="N22">
        <v>0</v>
      </c>
      <c r="F22" s="2">
        <v>0</v>
      </c>
      <c r="G22" s="2">
        <v>0</v>
      </c>
      <c r="H22" s="2">
        <v>0</v>
      </c>
      <c r="L22">
        <f>IF(J22=0,"",K22/J22)</f>
      </c>
      <c r="O22">
        <f>IF(SUM(E22,J22,M22,N22)=0,"",SUM(E22,J22,M22,N22))</f>
      </c>
      <c r="P22" t="inlineStr">
        <is>
          <t/>
        </is>
      </c>
    </row>
    <row r="23">
      <c r="A23" s="1">
        <v>46225</v>
      </c>
      <c r="B23" t="inlineStr">
        <is>
          <t>W3</t>
        </is>
      </c>
      <c r="C23" t="inlineStr">
        <is>
          <t>Wed</t>
        </is>
      </c>
      <c r="D23" t="inlineStr">
        <is>
          <t>Email / Calls / LI</t>
        </is>
      </c>
      <c r="E23">
        <v>0</v>
      </c>
      <c r="I23">
        <v>0</v>
      </c>
      <c r="J23">
        <v>0</v>
      </c>
      <c r="K23">
        <v>0</v>
      </c>
      <c r="M23">
        <v>0</v>
      </c>
      <c r="N23">
        <v>0</v>
      </c>
      <c r="F23" s="2">
        <v>0</v>
      </c>
      <c r="G23" s="2">
        <v>0</v>
      </c>
      <c r="H23" s="2">
        <v>0</v>
      </c>
      <c r="L23">
        <f>IF(J23=0,"",K23/J23)</f>
      </c>
      <c r="O23">
        <f>IF(SUM(E23,J23,M23,N23)=0,"",SUM(E23,J23,M23,N23))</f>
      </c>
      <c r="P23" t="inlineStr">
        <is>
          <t/>
        </is>
      </c>
    </row>
    <row r="24">
      <c r="A24" s="1">
        <v>46226</v>
      </c>
      <c r="B24" t="inlineStr">
        <is>
          <t>W3</t>
        </is>
      </c>
      <c r="C24" t="inlineStr">
        <is>
          <t>Thu</t>
        </is>
      </c>
      <c r="D24" t="inlineStr">
        <is>
          <t>Email / Calls / LI</t>
        </is>
      </c>
      <c r="E24">
        <v>0</v>
      </c>
      <c r="I24">
        <v>0</v>
      </c>
      <c r="J24">
        <v>0</v>
      </c>
      <c r="K24">
        <v>0</v>
      </c>
      <c r="M24">
        <v>0</v>
      </c>
      <c r="N24">
        <v>0</v>
      </c>
      <c r="F24" s="2">
        <v>0</v>
      </c>
      <c r="G24" s="2">
        <v>0</v>
      </c>
      <c r="H24" s="2">
        <v>0</v>
      </c>
      <c r="L24">
        <f>IF(J24=0,"",K24/J24)</f>
      </c>
      <c r="O24">
        <f>IF(SUM(E24,J24,M24,N24)=0,"",SUM(E24,J24,M24,N24))</f>
      </c>
      <c r="P24" t="inlineStr">
        <is>
          <t/>
        </is>
      </c>
    </row>
    <row r="25">
      <c r="A25" s="1">
        <v>46227</v>
      </c>
      <c r="B25" t="inlineStr">
        <is>
          <t>W3</t>
        </is>
      </c>
      <c r="C25" t="inlineStr">
        <is>
          <t>Fri</t>
        </is>
      </c>
      <c r="D25" t="inlineStr">
        <is>
          <t>Email / Calls / LI</t>
        </is>
      </c>
      <c r="E25">
        <v>0</v>
      </c>
      <c r="I25">
        <v>0</v>
      </c>
      <c r="J25">
        <v>0</v>
      </c>
      <c r="K25">
        <v>0</v>
      </c>
      <c r="M25">
        <v>0</v>
      </c>
      <c r="N25">
        <v>0</v>
      </c>
      <c r="F25" s="2">
        <v>0</v>
      </c>
      <c r="G25" s="2">
        <v>0</v>
      </c>
      <c r="H25" s="2">
        <v>0</v>
      </c>
      <c r="L25">
        <f>IF(J25=0,"",K25/J25)</f>
      </c>
      <c r="O25">
        <f>IF(SUM(E25,J25,M25,N25)=0,"",SUM(E25,J25,M25,N25))</f>
      </c>
      <c r="P25" t="inlineStr">
        <is>
          <t/>
        </is>
      </c>
    </row>
    <row r="26" s="6" customFormat="1">
      <c r="A26" t="inlineStr">
        <is>
          <t>WK 3 TOTAL</t>
        </is>
      </c>
      <c r="E26">
        <f>SUM(E21:E25)</f>
      </c>
      <c r="I26">
        <f>SUM(I21:I25)</f>
      </c>
      <c r="J26">
        <f>SUM(J21:J25)</f>
      </c>
      <c r="K26">
        <f>SUM(K21:K25)</f>
      </c>
      <c r="M26">
        <f>SUM(M21:M25)</f>
      </c>
      <c r="N26">
        <f>SUM(N21:N25)</f>
      </c>
      <c r="O26">
        <f>SUM(O21:O25)</f>
      </c>
      <c r="F26">
        <f>IFERROR(AVERAGEIF(F21:F25,"&gt;0"),"")</f>
      </c>
      <c r="G26">
        <f>IFERROR(AVERAGEIF(G21:G25,"&gt;0"),"")</f>
      </c>
      <c r="H26">
        <f>IFERROR(AVERAGEIF(H21:H25,"&gt;0"),"")</f>
      </c>
      <c r="L26">
        <f>IFERROR(AVERAGEIF(L21:L25,"&gt;0"),"")</f>
      </c>
    </row>
    <row r="28" s="5" customFormat="1">
      <c r="A28" t="inlineStr">
        <is>
          <t>WEEK 4  -  27 Jul to 31 Jul 2026</t>
        </is>
      </c>
    </row>
    <row r="29">
      <c r="A29" s="1">
        <v>46230</v>
      </c>
      <c r="B29" t="inlineStr">
        <is>
          <t>W4</t>
        </is>
      </c>
      <c r="C29" t="inlineStr">
        <is>
          <t>Mon</t>
        </is>
      </c>
      <c r="D29" t="inlineStr">
        <is>
          <t>Email / Calls / LI</t>
        </is>
      </c>
      <c r="E29">
        <v>0</v>
      </c>
      <c r="I29">
        <v>0</v>
      </c>
      <c r="J29">
        <v>0</v>
      </c>
      <c r="K29">
        <v>0</v>
      </c>
      <c r="M29">
        <v>0</v>
      </c>
      <c r="N29">
        <v>0</v>
      </c>
      <c r="F29" s="2">
        <v>0</v>
      </c>
      <c r="G29" s="2">
        <v>0</v>
      </c>
      <c r="H29" s="2">
        <v>0</v>
      </c>
      <c r="L29">
        <f>IF(J29=0,"",K29/J29)</f>
      </c>
      <c r="O29">
        <f>IF(SUM(E29,J29,M29,N29)=0,"",SUM(E29,J29,M29,N29))</f>
      </c>
      <c r="P29" t="inlineStr">
        <is>
          <t/>
        </is>
      </c>
    </row>
    <row r="30">
      <c r="A30" s="1">
        <v>46231</v>
      </c>
      <c r="B30" t="inlineStr">
        <is>
          <t>W4</t>
        </is>
      </c>
      <c r="C30" t="inlineStr">
        <is>
          <t>Tue</t>
        </is>
      </c>
      <c r="D30" t="inlineStr">
        <is>
          <t>Email / Calls / LI</t>
        </is>
      </c>
      <c r="E30">
        <v>0</v>
      </c>
      <c r="I30">
        <v>0</v>
      </c>
      <c r="J30">
        <v>0</v>
      </c>
      <c r="K30">
        <v>0</v>
      </c>
      <c r="M30">
        <v>0</v>
      </c>
      <c r="N30">
        <v>0</v>
      </c>
      <c r="F30" s="2">
        <v>0</v>
      </c>
      <c r="G30" s="2">
        <v>0</v>
      </c>
      <c r="H30" s="2">
        <v>0</v>
      </c>
      <c r="L30">
        <f>IF(J30=0,"",K30/J30)</f>
      </c>
      <c r="O30">
        <f>IF(SUM(E30,J30,M30,N30)=0,"",SUM(E30,J30,M30,N30))</f>
      </c>
      <c r="P30" t="inlineStr">
        <is>
          <t/>
        </is>
      </c>
    </row>
    <row r="31">
      <c r="A31" s="1">
        <v>46232</v>
      </c>
      <c r="B31" t="inlineStr">
        <is>
          <t>W4</t>
        </is>
      </c>
      <c r="C31" t="inlineStr">
        <is>
          <t>Wed</t>
        </is>
      </c>
      <c r="D31" t="inlineStr">
        <is>
          <t>Email / Calls / LI</t>
        </is>
      </c>
      <c r="E31">
        <v>0</v>
      </c>
      <c r="I31">
        <v>0</v>
      </c>
      <c r="J31">
        <v>0</v>
      </c>
      <c r="K31">
        <v>0</v>
      </c>
      <c r="M31">
        <v>0</v>
      </c>
      <c r="N31">
        <v>0</v>
      </c>
      <c r="F31" s="2">
        <v>0</v>
      </c>
      <c r="G31" s="2">
        <v>0</v>
      </c>
      <c r="H31" s="2">
        <v>0</v>
      </c>
      <c r="L31">
        <f>IF(J31=0,"",K31/J31)</f>
      </c>
      <c r="O31">
        <f>IF(SUM(E31,J31,M31,N31)=0,"",SUM(E31,J31,M31,N31))</f>
      </c>
      <c r="P31" t="inlineStr">
        <is>
          <t/>
        </is>
      </c>
    </row>
    <row r="32">
      <c r="A32" s="1">
        <v>46233</v>
      </c>
      <c r="B32" t="inlineStr">
        <is>
          <t>W4</t>
        </is>
      </c>
      <c r="C32" t="inlineStr">
        <is>
          <t>Thu</t>
        </is>
      </c>
      <c r="D32" t="inlineStr">
        <is>
          <t>Email / Calls / LI</t>
        </is>
      </c>
      <c r="E32">
        <v>0</v>
      </c>
      <c r="I32">
        <v>0</v>
      </c>
      <c r="J32">
        <v>0</v>
      </c>
      <c r="K32">
        <v>0</v>
      </c>
      <c r="M32">
        <v>0</v>
      </c>
      <c r="N32">
        <v>0</v>
      </c>
      <c r="F32" s="2">
        <v>0</v>
      </c>
      <c r="G32" s="2">
        <v>0</v>
      </c>
      <c r="H32" s="2">
        <v>0</v>
      </c>
      <c r="L32">
        <f>IF(J32=0,"",K32/J32)</f>
      </c>
      <c r="O32">
        <f>IF(SUM(E32,J32,M32,N32)=0,"",SUM(E32,J32,M32,N32))</f>
      </c>
      <c r="P32" t="inlineStr">
        <is>
          <t/>
        </is>
      </c>
    </row>
    <row r="33">
      <c r="A33" s="1">
        <v>46234</v>
      </c>
      <c r="B33" t="inlineStr">
        <is>
          <t>W4</t>
        </is>
      </c>
      <c r="C33" t="inlineStr">
        <is>
          <t>Fri</t>
        </is>
      </c>
      <c r="D33" t="inlineStr">
        <is>
          <t>Email / Calls / LI</t>
        </is>
      </c>
      <c r="E33">
        <v>0</v>
      </c>
      <c r="I33">
        <v>0</v>
      </c>
      <c r="J33">
        <v>0</v>
      </c>
      <c r="K33">
        <v>0</v>
      </c>
      <c r="M33">
        <v>0</v>
      </c>
      <c r="N33">
        <v>0</v>
      </c>
      <c r="F33" s="2">
        <v>0</v>
      </c>
      <c r="G33" s="2">
        <v>0</v>
      </c>
      <c r="H33" s="2">
        <v>0</v>
      </c>
      <c r="L33">
        <f>IF(J33=0,"",K33/J33)</f>
      </c>
      <c r="O33">
        <f>IF(SUM(E33,J33,M33,N33)=0,"",SUM(E33,J33,M33,N33))</f>
      </c>
      <c r="P33" t="inlineStr">
        <is>
          <t/>
        </is>
      </c>
    </row>
    <row r="34" s="6" customFormat="1">
      <c r="A34" t="inlineStr">
        <is>
          <t>WK 4 TOTAL</t>
        </is>
      </c>
      <c r="E34">
        <f>SUM(E29:E33)</f>
      </c>
      <c r="I34">
        <f>SUM(I29:I33)</f>
      </c>
      <c r="J34">
        <f>SUM(J29:J33)</f>
      </c>
      <c r="K34">
        <f>SUM(K29:K33)</f>
      </c>
      <c r="M34">
        <f>SUM(M29:M33)</f>
      </c>
      <c r="N34">
        <f>SUM(N29:N33)</f>
      </c>
      <c r="O34">
        <f>SUM(O29:O33)</f>
      </c>
      <c r="F34">
        <f>IFERROR(AVERAGEIF(F29:F33,"&gt;0"),"")</f>
      </c>
      <c r="G34">
        <f>IFERROR(AVERAGEIF(G29:G33,"&gt;0"),"")</f>
      </c>
      <c r="H34">
        <f>IFERROR(AVERAGEIF(H29:H33,"&gt;0"),"")</f>
      </c>
      <c r="L34">
        <f>IFERROR(AVERAGEIF(L29:L33,"&gt;0"),"")</f>
      </c>
    </row>
    <row r="36" s="5" customFormat="1">
      <c r="A36" t="inlineStr">
        <is>
          <t>WEEK 5  -  03 Aug to 07 Aug 2026</t>
        </is>
      </c>
    </row>
    <row r="37">
      <c r="A37" s="1">
        <v>46237</v>
      </c>
      <c r="B37" t="inlineStr">
        <is>
          <t>W5</t>
        </is>
      </c>
      <c r="C37" t="inlineStr">
        <is>
          <t>Mon</t>
        </is>
      </c>
      <c r="D37" t="inlineStr">
        <is>
          <t>Email / Calls / LI</t>
        </is>
      </c>
      <c r="E37">
        <v>0</v>
      </c>
      <c r="I37">
        <v>0</v>
      </c>
      <c r="J37">
        <v>0</v>
      </c>
      <c r="K37">
        <v>0</v>
      </c>
      <c r="M37">
        <v>0</v>
      </c>
      <c r="N37">
        <v>0</v>
      </c>
      <c r="F37" s="2">
        <v>0</v>
      </c>
      <c r="G37" s="2">
        <v>0</v>
      </c>
      <c r="H37" s="2">
        <v>0</v>
      </c>
      <c r="L37">
        <f>IF(J37=0,"",K37/J37)</f>
      </c>
      <c r="O37">
        <f>IF(SUM(E37,J37,M37,N37)=0,"",SUM(E37,J37,M37,N37))</f>
      </c>
      <c r="P37" t="inlineStr">
        <is>
          <t/>
        </is>
      </c>
    </row>
    <row r="38">
      <c r="A38" s="1">
        <v>46238</v>
      </c>
      <c r="B38" t="inlineStr">
        <is>
          <t>W5</t>
        </is>
      </c>
      <c r="C38" t="inlineStr">
        <is>
          <t>Tue</t>
        </is>
      </c>
      <c r="D38" t="inlineStr">
        <is>
          <t>Email / Calls / LI</t>
        </is>
      </c>
      <c r="E38">
        <v>0</v>
      </c>
      <c r="I38">
        <v>0</v>
      </c>
      <c r="J38">
        <v>0</v>
      </c>
      <c r="K38">
        <v>0</v>
      </c>
      <c r="M38">
        <v>0</v>
      </c>
      <c r="N38">
        <v>0</v>
      </c>
      <c r="F38" s="2">
        <v>0</v>
      </c>
      <c r="G38" s="2">
        <v>0</v>
      </c>
      <c r="H38" s="2">
        <v>0</v>
      </c>
      <c r="L38">
        <f>IF(J38=0,"",K38/J38)</f>
      </c>
      <c r="O38">
        <f>IF(SUM(E38,J38,M38,N38)=0,"",SUM(E38,J38,M38,N38))</f>
      </c>
      <c r="P38" t="inlineStr">
        <is>
          <t/>
        </is>
      </c>
    </row>
    <row r="39">
      <c r="A39" s="1">
        <v>46239</v>
      </c>
      <c r="B39" t="inlineStr">
        <is>
          <t>W5</t>
        </is>
      </c>
      <c r="C39" t="inlineStr">
        <is>
          <t>Wed</t>
        </is>
      </c>
      <c r="D39" t="inlineStr">
        <is>
          <t>Email / Calls / LI</t>
        </is>
      </c>
      <c r="E39">
        <v>0</v>
      </c>
      <c r="I39">
        <v>0</v>
      </c>
      <c r="J39">
        <v>0</v>
      </c>
      <c r="K39">
        <v>0</v>
      </c>
      <c r="M39">
        <v>0</v>
      </c>
      <c r="N39">
        <v>0</v>
      </c>
      <c r="F39" s="2">
        <v>0</v>
      </c>
      <c r="G39" s="2">
        <v>0</v>
      </c>
      <c r="H39" s="2">
        <v>0</v>
      </c>
      <c r="L39">
        <f>IF(J39=0,"",K39/J39)</f>
      </c>
      <c r="O39">
        <f>IF(SUM(E39,J39,M39,N39)=0,"",SUM(E39,J39,M39,N39))</f>
      </c>
      <c r="P39" t="inlineStr">
        <is>
          <t/>
        </is>
      </c>
    </row>
    <row r="40">
      <c r="A40" s="1">
        <v>46240</v>
      </c>
      <c r="B40" t="inlineStr">
        <is>
          <t>W5</t>
        </is>
      </c>
      <c r="C40" t="inlineStr">
        <is>
          <t>Thu</t>
        </is>
      </c>
      <c r="D40" t="inlineStr">
        <is>
          <t>Email / Calls / LI</t>
        </is>
      </c>
      <c r="E40">
        <v>0</v>
      </c>
      <c r="I40">
        <v>0</v>
      </c>
      <c r="J40">
        <v>0</v>
      </c>
      <c r="K40">
        <v>0</v>
      </c>
      <c r="M40">
        <v>0</v>
      </c>
      <c r="N40">
        <v>0</v>
      </c>
      <c r="F40" s="2">
        <v>0</v>
      </c>
      <c r="G40" s="2">
        <v>0</v>
      </c>
      <c r="H40" s="2">
        <v>0</v>
      </c>
      <c r="L40">
        <f>IF(J40=0,"",K40/J40)</f>
      </c>
      <c r="O40">
        <f>IF(SUM(E40,J40,M40,N40)=0,"",SUM(E40,J40,M40,N40))</f>
      </c>
      <c r="P40" t="inlineStr">
        <is>
          <t/>
        </is>
      </c>
    </row>
    <row r="41">
      <c r="A41" s="1">
        <v>46241</v>
      </c>
      <c r="B41" t="inlineStr">
        <is>
          <t>W5</t>
        </is>
      </c>
      <c r="C41" t="inlineStr">
        <is>
          <t>Fri</t>
        </is>
      </c>
      <c r="D41" t="inlineStr">
        <is>
          <t>Email / Calls / LI</t>
        </is>
      </c>
      <c r="E41">
        <v>0</v>
      </c>
      <c r="I41">
        <v>0</v>
      </c>
      <c r="J41">
        <v>0</v>
      </c>
      <c r="K41">
        <v>0</v>
      </c>
      <c r="M41">
        <v>0</v>
      </c>
      <c r="N41">
        <v>0</v>
      </c>
      <c r="F41" s="2">
        <v>0</v>
      </c>
      <c r="G41" s="2">
        <v>0</v>
      </c>
      <c r="H41" s="2">
        <v>0</v>
      </c>
      <c r="L41">
        <f>IF(J41=0,"",K41/J41)</f>
      </c>
      <c r="O41">
        <f>IF(SUM(E41,J41,M41,N41)=0,"",SUM(E41,J41,M41,N41))</f>
      </c>
      <c r="P41" t="inlineStr">
        <is>
          <t/>
        </is>
      </c>
    </row>
    <row r="42" s="6" customFormat="1">
      <c r="A42" t="inlineStr">
        <is>
          <t>WK 5 TOTAL</t>
        </is>
      </c>
      <c r="E42">
        <f>SUM(E37:E41)</f>
      </c>
      <c r="I42">
        <f>SUM(I37:I41)</f>
      </c>
      <c r="J42">
        <f>SUM(J37:J41)</f>
      </c>
      <c r="K42">
        <f>SUM(K37:K41)</f>
      </c>
      <c r="M42">
        <f>SUM(M37:M41)</f>
      </c>
      <c r="N42">
        <f>SUM(N37:N41)</f>
      </c>
      <c r="O42">
        <f>SUM(O37:O41)</f>
      </c>
      <c r="F42">
        <f>IFERROR(AVERAGEIF(F37:F41,"&gt;0"),"")</f>
      </c>
      <c r="G42">
        <f>IFERROR(AVERAGEIF(G37:G41,"&gt;0"),"")</f>
      </c>
      <c r="H42">
        <f>IFERROR(AVERAGEIF(H37:H41,"&gt;0"),"")</f>
      </c>
      <c r="L42">
        <f>IFERROR(AVERAGEIF(L37:L41,"&gt;0"),"")</f>
      </c>
    </row>
    <row r="44" s="5" customFormat="1">
      <c r="A44" t="inlineStr">
        <is>
          <t>WEEK 6  -  10 Aug to 14 Aug 2026</t>
        </is>
      </c>
    </row>
    <row r="45">
      <c r="A45" s="1">
        <v>46244</v>
      </c>
      <c r="B45" t="inlineStr">
        <is>
          <t>W6</t>
        </is>
      </c>
      <c r="C45" t="inlineStr">
        <is>
          <t>Mon</t>
        </is>
      </c>
      <c r="D45" t="inlineStr">
        <is>
          <t>Email / Calls / LI</t>
        </is>
      </c>
      <c r="E45">
        <v>0</v>
      </c>
      <c r="I45">
        <v>0</v>
      </c>
      <c r="J45">
        <v>0</v>
      </c>
      <c r="K45">
        <v>0</v>
      </c>
      <c r="M45">
        <v>0</v>
      </c>
      <c r="N45">
        <v>0</v>
      </c>
      <c r="F45" s="2">
        <v>0</v>
      </c>
      <c r="G45" s="2">
        <v>0</v>
      </c>
      <c r="H45" s="2">
        <v>0</v>
      </c>
      <c r="L45">
        <f>IF(J45=0,"",K45/J45)</f>
      </c>
      <c r="O45">
        <f>IF(SUM(E45,J45,M45,N45)=0,"",SUM(E45,J45,M45,N45))</f>
      </c>
      <c r="P45" t="inlineStr">
        <is>
          <t/>
        </is>
      </c>
    </row>
    <row r="46">
      <c r="A46" s="1">
        <v>46245</v>
      </c>
      <c r="B46" t="inlineStr">
        <is>
          <t>W6</t>
        </is>
      </c>
      <c r="C46" t="inlineStr">
        <is>
          <t>Tue</t>
        </is>
      </c>
      <c r="D46" t="inlineStr">
        <is>
          <t>Email / Calls / LI</t>
        </is>
      </c>
      <c r="E46">
        <v>0</v>
      </c>
      <c r="I46">
        <v>0</v>
      </c>
      <c r="J46">
        <v>0</v>
      </c>
      <c r="K46">
        <v>0</v>
      </c>
      <c r="M46">
        <v>0</v>
      </c>
      <c r="N46">
        <v>0</v>
      </c>
      <c r="F46" s="2">
        <v>0</v>
      </c>
      <c r="G46" s="2">
        <v>0</v>
      </c>
      <c r="H46" s="2">
        <v>0</v>
      </c>
      <c r="L46">
        <f>IF(J46=0,"",K46/J46)</f>
      </c>
      <c r="O46">
        <f>IF(SUM(E46,J46,M46,N46)=0,"",SUM(E46,J46,M46,N46))</f>
      </c>
      <c r="P46" t="inlineStr">
        <is>
          <t/>
        </is>
      </c>
    </row>
    <row r="47">
      <c r="A47" s="1">
        <v>46246</v>
      </c>
      <c r="B47" t="inlineStr">
        <is>
          <t>W6</t>
        </is>
      </c>
      <c r="C47" t="inlineStr">
        <is>
          <t>Wed</t>
        </is>
      </c>
      <c r="D47" t="inlineStr">
        <is>
          <t>Email / Calls / LI</t>
        </is>
      </c>
      <c r="E47">
        <v>0</v>
      </c>
      <c r="I47">
        <v>0</v>
      </c>
      <c r="J47">
        <v>0</v>
      </c>
      <c r="K47">
        <v>0</v>
      </c>
      <c r="M47">
        <v>0</v>
      </c>
      <c r="N47">
        <v>0</v>
      </c>
      <c r="F47" s="2">
        <v>0</v>
      </c>
      <c r="G47" s="2">
        <v>0</v>
      </c>
      <c r="H47" s="2">
        <v>0</v>
      </c>
      <c r="L47">
        <f>IF(J47=0,"",K47/J47)</f>
      </c>
      <c r="O47">
        <f>IF(SUM(E47,J47,M47,N47)=0,"",SUM(E47,J47,M47,N47))</f>
      </c>
      <c r="P47" t="inlineStr">
        <is>
          <t/>
        </is>
      </c>
    </row>
    <row r="48">
      <c r="A48" s="1">
        <v>46247</v>
      </c>
      <c r="B48" t="inlineStr">
        <is>
          <t>W6</t>
        </is>
      </c>
      <c r="C48" t="inlineStr">
        <is>
          <t>Thu</t>
        </is>
      </c>
      <c r="D48" t="inlineStr">
        <is>
          <t>Email / Calls / LI</t>
        </is>
      </c>
      <c r="E48">
        <v>0</v>
      </c>
      <c r="I48">
        <v>0</v>
      </c>
      <c r="J48">
        <v>0</v>
      </c>
      <c r="K48">
        <v>0</v>
      </c>
      <c r="M48">
        <v>0</v>
      </c>
      <c r="N48">
        <v>0</v>
      </c>
      <c r="F48" s="2">
        <v>0</v>
      </c>
      <c r="G48" s="2">
        <v>0</v>
      </c>
      <c r="H48" s="2">
        <v>0</v>
      </c>
      <c r="L48">
        <f>IF(J48=0,"",K48/J48)</f>
      </c>
      <c r="O48">
        <f>IF(SUM(E48,J48,M48,N48)=0,"",SUM(E48,J48,M48,N48))</f>
      </c>
      <c r="P48" t="inlineStr">
        <is>
          <t/>
        </is>
      </c>
    </row>
    <row r="49">
      <c r="A49" s="1">
        <v>46248</v>
      </c>
      <c r="B49" t="inlineStr">
        <is>
          <t>W6</t>
        </is>
      </c>
      <c r="C49" t="inlineStr">
        <is>
          <t>Fri</t>
        </is>
      </c>
      <c r="D49" t="inlineStr">
        <is>
          <t>Email / Calls / LI</t>
        </is>
      </c>
      <c r="E49">
        <v>0</v>
      </c>
      <c r="I49">
        <v>0</v>
      </c>
      <c r="J49">
        <v>0</v>
      </c>
      <c r="K49">
        <v>0</v>
      </c>
      <c r="M49">
        <v>0</v>
      </c>
      <c r="N49">
        <v>0</v>
      </c>
      <c r="F49" s="2">
        <v>0</v>
      </c>
      <c r="G49" s="2">
        <v>0</v>
      </c>
      <c r="H49" s="2">
        <v>0</v>
      </c>
      <c r="L49">
        <f>IF(J49=0,"",K49/J49)</f>
      </c>
      <c r="O49">
        <f>IF(SUM(E49,J49,M49,N49)=0,"",SUM(E49,J49,M49,N49))</f>
      </c>
      <c r="P49" t="inlineStr">
        <is>
          <t/>
        </is>
      </c>
    </row>
    <row r="50" s="6" customFormat="1">
      <c r="A50" t="inlineStr">
        <is>
          <t>WK 6 TOTAL</t>
        </is>
      </c>
      <c r="E50">
        <f>SUM(E45:E49)</f>
      </c>
      <c r="I50">
        <f>SUM(I45:I49)</f>
      </c>
      <c r="J50">
        <f>SUM(J45:J49)</f>
      </c>
      <c r="K50">
        <f>SUM(K45:K49)</f>
      </c>
      <c r="M50">
        <f>SUM(M45:M49)</f>
      </c>
      <c r="N50">
        <f>SUM(N45:N49)</f>
      </c>
      <c r="O50">
        <f>SUM(O45:O49)</f>
      </c>
      <c r="F50">
        <f>IFERROR(AVERAGEIF(F45:F49,"&gt;0"),"")</f>
      </c>
      <c r="G50">
        <f>IFERROR(AVERAGEIF(G45:G49,"&gt;0"),"")</f>
      </c>
      <c r="H50">
        <f>IFERROR(AVERAGEIF(H45:H49,"&gt;0"),"")</f>
      </c>
      <c r="L50">
        <f>IFERROR(AVERAGEIF(L45:L49,"&gt;0"),"")</f>
      </c>
    </row>
    <row r="52" s="5" customFormat="1">
      <c r="A52" t="inlineStr">
        <is>
          <t>WEEK 7  -  17 Aug to 21 Aug 2026</t>
        </is>
      </c>
    </row>
    <row r="53">
      <c r="A53" s="1">
        <v>46251</v>
      </c>
      <c r="B53" t="inlineStr">
        <is>
          <t>W7</t>
        </is>
      </c>
      <c r="C53" t="inlineStr">
        <is>
          <t>Mon</t>
        </is>
      </c>
      <c r="D53" t="inlineStr">
        <is>
          <t>Email / Calls / LI</t>
        </is>
      </c>
      <c r="E53">
        <v>0</v>
      </c>
      <c r="I53">
        <v>0</v>
      </c>
      <c r="J53">
        <v>0</v>
      </c>
      <c r="K53">
        <v>0</v>
      </c>
      <c r="M53">
        <v>0</v>
      </c>
      <c r="N53">
        <v>0</v>
      </c>
      <c r="F53" s="2">
        <v>0</v>
      </c>
      <c r="G53" s="2">
        <v>0</v>
      </c>
      <c r="H53" s="2">
        <v>0</v>
      </c>
      <c r="L53">
        <f>IF(J53=0,"",K53/J53)</f>
      </c>
      <c r="O53">
        <f>IF(SUM(E53,J53,M53,N53)=0,"",SUM(E53,J53,M53,N53))</f>
      </c>
      <c r="P53" t="inlineStr">
        <is>
          <t/>
        </is>
      </c>
    </row>
    <row r="54">
      <c r="A54" s="1">
        <v>46252</v>
      </c>
      <c r="B54" t="inlineStr">
        <is>
          <t>W7</t>
        </is>
      </c>
      <c r="C54" t="inlineStr">
        <is>
          <t>Tue</t>
        </is>
      </c>
      <c r="D54" t="inlineStr">
        <is>
          <t>Email / Calls / LI</t>
        </is>
      </c>
      <c r="E54">
        <v>0</v>
      </c>
      <c r="I54">
        <v>0</v>
      </c>
      <c r="J54">
        <v>0</v>
      </c>
      <c r="K54">
        <v>0</v>
      </c>
      <c r="M54">
        <v>0</v>
      </c>
      <c r="N54">
        <v>0</v>
      </c>
      <c r="F54" s="2">
        <v>0</v>
      </c>
      <c r="G54" s="2">
        <v>0</v>
      </c>
      <c r="H54" s="2">
        <v>0</v>
      </c>
      <c r="L54">
        <f>IF(J54=0,"",K54/J54)</f>
      </c>
      <c r="O54">
        <f>IF(SUM(E54,J54,M54,N54)=0,"",SUM(E54,J54,M54,N54))</f>
      </c>
      <c r="P54" t="inlineStr">
        <is>
          <t/>
        </is>
      </c>
    </row>
    <row r="55">
      <c r="A55" s="1">
        <v>46253</v>
      </c>
      <c r="B55" t="inlineStr">
        <is>
          <t>W7</t>
        </is>
      </c>
      <c r="C55" t="inlineStr">
        <is>
          <t>Wed</t>
        </is>
      </c>
      <c r="D55" t="inlineStr">
        <is>
          <t>Email / Calls / LI</t>
        </is>
      </c>
      <c r="E55">
        <v>0</v>
      </c>
      <c r="I55">
        <v>0</v>
      </c>
      <c r="J55">
        <v>0</v>
      </c>
      <c r="K55">
        <v>0</v>
      </c>
      <c r="M55">
        <v>0</v>
      </c>
      <c r="N55">
        <v>0</v>
      </c>
      <c r="F55" s="2">
        <v>0</v>
      </c>
      <c r="G55" s="2">
        <v>0</v>
      </c>
      <c r="H55" s="2">
        <v>0</v>
      </c>
      <c r="L55">
        <f>IF(J55=0,"",K55/J55)</f>
      </c>
      <c r="O55">
        <f>IF(SUM(E55,J55,M55,N55)=0,"",SUM(E55,J55,M55,N55))</f>
      </c>
      <c r="P55" t="inlineStr">
        <is>
          <t/>
        </is>
      </c>
    </row>
    <row r="56">
      <c r="A56" s="1">
        <v>46254</v>
      </c>
      <c r="B56" t="inlineStr">
        <is>
          <t>W7</t>
        </is>
      </c>
      <c r="C56" t="inlineStr">
        <is>
          <t>Thu</t>
        </is>
      </c>
      <c r="D56" t="inlineStr">
        <is>
          <t>Email / Calls / LI</t>
        </is>
      </c>
      <c r="E56">
        <v>0</v>
      </c>
      <c r="I56">
        <v>0</v>
      </c>
      <c r="J56">
        <v>0</v>
      </c>
      <c r="K56">
        <v>0</v>
      </c>
      <c r="M56">
        <v>0</v>
      </c>
      <c r="N56">
        <v>0</v>
      </c>
      <c r="F56" s="2">
        <v>0</v>
      </c>
      <c r="G56" s="2">
        <v>0</v>
      </c>
      <c r="H56" s="2">
        <v>0</v>
      </c>
      <c r="L56">
        <f>IF(J56=0,"",K56/J56)</f>
      </c>
      <c r="O56">
        <f>IF(SUM(E56,J56,M56,N56)=0,"",SUM(E56,J56,M56,N56))</f>
      </c>
      <c r="P56" t="inlineStr">
        <is>
          <t/>
        </is>
      </c>
    </row>
    <row r="57">
      <c r="A57" s="1">
        <v>46255</v>
      </c>
      <c r="B57" t="inlineStr">
        <is>
          <t>W7</t>
        </is>
      </c>
      <c r="C57" t="inlineStr">
        <is>
          <t>Fri</t>
        </is>
      </c>
      <c r="D57" t="inlineStr">
        <is>
          <t>Email / Calls / LI</t>
        </is>
      </c>
      <c r="E57">
        <v>0</v>
      </c>
      <c r="I57">
        <v>0</v>
      </c>
      <c r="J57">
        <v>0</v>
      </c>
      <c r="K57">
        <v>0</v>
      </c>
      <c r="M57">
        <v>0</v>
      </c>
      <c r="N57">
        <v>0</v>
      </c>
      <c r="F57" s="2">
        <v>0</v>
      </c>
      <c r="G57" s="2">
        <v>0</v>
      </c>
      <c r="H57" s="2">
        <v>0</v>
      </c>
      <c r="L57">
        <f>IF(J57=0,"",K57/J57)</f>
      </c>
      <c r="O57">
        <f>IF(SUM(E57,J57,M57,N57)=0,"",SUM(E57,J57,M57,N57))</f>
      </c>
      <c r="P57" t="inlineStr">
        <is>
          <t/>
        </is>
      </c>
    </row>
    <row r="58" s="6" customFormat="1">
      <c r="A58" t="inlineStr">
        <is>
          <t>WK 7 TOTAL</t>
        </is>
      </c>
      <c r="E58">
        <f>SUM(E53:E57)</f>
      </c>
      <c r="I58">
        <f>SUM(I53:I57)</f>
      </c>
      <c r="J58">
        <f>SUM(J53:J57)</f>
      </c>
      <c r="K58">
        <f>SUM(K53:K57)</f>
      </c>
      <c r="M58">
        <f>SUM(M53:M57)</f>
      </c>
      <c r="N58">
        <f>SUM(N53:N57)</f>
      </c>
      <c r="O58">
        <f>SUM(O53:O57)</f>
      </c>
      <c r="F58">
        <f>IFERROR(AVERAGEIF(F53:F57,"&gt;0"),"")</f>
      </c>
      <c r="G58">
        <f>IFERROR(AVERAGEIF(G53:G57,"&gt;0"),"")</f>
      </c>
      <c r="H58">
        <f>IFERROR(AVERAGEIF(H53:H57,"&gt;0"),"")</f>
      </c>
      <c r="L58">
        <f>IFERROR(AVERAGEIF(L53:L57,"&gt;0"),"")</f>
      </c>
    </row>
    <row r="60" s="5" customFormat="1">
      <c r="A60" t="inlineStr">
        <is>
          <t>WEEK 8  -  24 Aug to 28 Aug 2026</t>
        </is>
      </c>
    </row>
    <row r="61">
      <c r="A61" s="1">
        <v>46258</v>
      </c>
      <c r="B61" t="inlineStr">
        <is>
          <t>W8</t>
        </is>
      </c>
      <c r="C61" t="inlineStr">
        <is>
          <t>Mon</t>
        </is>
      </c>
      <c r="D61" t="inlineStr">
        <is>
          <t>Email / Calls / LI</t>
        </is>
      </c>
      <c r="E61">
        <v>0</v>
      </c>
      <c r="I61">
        <v>0</v>
      </c>
      <c r="J61">
        <v>0</v>
      </c>
      <c r="K61">
        <v>0</v>
      </c>
      <c r="M61">
        <v>0</v>
      </c>
      <c r="N61">
        <v>0</v>
      </c>
      <c r="F61" s="2">
        <v>0</v>
      </c>
      <c r="G61" s="2">
        <v>0</v>
      </c>
      <c r="H61" s="2">
        <v>0</v>
      </c>
      <c r="L61">
        <f>IF(J61=0,"",K61/J61)</f>
      </c>
      <c r="O61">
        <f>IF(SUM(E61,J61,M61,N61)=0,"",SUM(E61,J61,M61,N61))</f>
      </c>
      <c r="P61" t="inlineStr">
        <is>
          <t/>
        </is>
      </c>
    </row>
    <row r="62">
      <c r="A62" s="1">
        <v>46259</v>
      </c>
      <c r="B62" t="inlineStr">
        <is>
          <t>W8</t>
        </is>
      </c>
      <c r="C62" t="inlineStr">
        <is>
          <t>Tue</t>
        </is>
      </c>
      <c r="D62" t="inlineStr">
        <is>
          <t>Email / Calls / LI</t>
        </is>
      </c>
      <c r="E62">
        <v>0</v>
      </c>
      <c r="I62">
        <v>0</v>
      </c>
      <c r="J62">
        <v>0</v>
      </c>
      <c r="K62">
        <v>0</v>
      </c>
      <c r="M62">
        <v>0</v>
      </c>
      <c r="N62">
        <v>0</v>
      </c>
      <c r="F62" s="2">
        <v>0</v>
      </c>
      <c r="G62" s="2">
        <v>0</v>
      </c>
      <c r="H62" s="2">
        <v>0</v>
      </c>
      <c r="L62">
        <f>IF(J62=0,"",K62/J62)</f>
      </c>
      <c r="O62">
        <f>IF(SUM(E62,J62,M62,N62)=0,"",SUM(E62,J62,M62,N62))</f>
      </c>
      <c r="P62" t="inlineStr">
        <is>
          <t/>
        </is>
      </c>
    </row>
    <row r="63">
      <c r="A63" s="1">
        <v>46260</v>
      </c>
      <c r="B63" t="inlineStr">
        <is>
          <t>W8</t>
        </is>
      </c>
      <c r="C63" t="inlineStr">
        <is>
          <t>Wed</t>
        </is>
      </c>
      <c r="D63" t="inlineStr">
        <is>
          <t>Email / Calls / LI</t>
        </is>
      </c>
      <c r="E63">
        <v>0</v>
      </c>
      <c r="I63">
        <v>0</v>
      </c>
      <c r="J63">
        <v>0</v>
      </c>
      <c r="K63">
        <v>0</v>
      </c>
      <c r="M63">
        <v>0</v>
      </c>
      <c r="N63">
        <v>0</v>
      </c>
      <c r="F63" s="2">
        <v>0</v>
      </c>
      <c r="G63" s="2">
        <v>0</v>
      </c>
      <c r="H63" s="2">
        <v>0</v>
      </c>
      <c r="L63">
        <f>IF(J63=0,"",K63/J63)</f>
      </c>
      <c r="O63">
        <f>IF(SUM(E63,J63,M63,N63)=0,"",SUM(E63,J63,M63,N63))</f>
      </c>
      <c r="P63" t="inlineStr">
        <is>
          <t/>
        </is>
      </c>
    </row>
    <row r="64">
      <c r="A64" s="1">
        <v>46261</v>
      </c>
      <c r="B64" t="inlineStr">
        <is>
          <t>W8</t>
        </is>
      </c>
      <c r="C64" t="inlineStr">
        <is>
          <t>Thu</t>
        </is>
      </c>
      <c r="D64" t="inlineStr">
        <is>
          <t>Email / Calls / LI</t>
        </is>
      </c>
      <c r="E64">
        <v>0</v>
      </c>
      <c r="I64">
        <v>0</v>
      </c>
      <c r="J64">
        <v>0</v>
      </c>
      <c r="K64">
        <v>0</v>
      </c>
      <c r="M64">
        <v>0</v>
      </c>
      <c r="N64">
        <v>0</v>
      </c>
      <c r="F64" s="2">
        <v>0</v>
      </c>
      <c r="G64" s="2">
        <v>0</v>
      </c>
      <c r="H64" s="2">
        <v>0</v>
      </c>
      <c r="L64">
        <f>IF(J64=0,"",K64/J64)</f>
      </c>
      <c r="O64">
        <f>IF(SUM(E64,J64,M64,N64)=0,"",SUM(E64,J64,M64,N64))</f>
      </c>
      <c r="P64" t="inlineStr">
        <is>
          <t/>
        </is>
      </c>
    </row>
    <row r="65">
      <c r="A65" s="1">
        <v>46262</v>
      </c>
      <c r="B65" t="inlineStr">
        <is>
          <t>W8</t>
        </is>
      </c>
      <c r="C65" t="inlineStr">
        <is>
          <t>Fri</t>
        </is>
      </c>
      <c r="D65" t="inlineStr">
        <is>
          <t>Email / Calls / LI</t>
        </is>
      </c>
      <c r="E65">
        <v>0</v>
      </c>
      <c r="I65">
        <v>0</v>
      </c>
      <c r="J65">
        <v>0</v>
      </c>
      <c r="K65">
        <v>0</v>
      </c>
      <c r="M65">
        <v>0</v>
      </c>
      <c r="N65">
        <v>0</v>
      </c>
      <c r="F65" s="2">
        <v>0</v>
      </c>
      <c r="G65" s="2">
        <v>0</v>
      </c>
      <c r="H65" s="2">
        <v>0</v>
      </c>
      <c r="L65">
        <f>IF(J65=0,"",K65/J65)</f>
      </c>
      <c r="O65">
        <f>IF(SUM(E65,J65,M65,N65)=0,"",SUM(E65,J65,M65,N65))</f>
      </c>
      <c r="P65" t="inlineStr">
        <is>
          <t/>
        </is>
      </c>
    </row>
    <row r="66" s="6" customFormat="1">
      <c r="A66" t="inlineStr">
        <is>
          <t>WK 8 TOTAL</t>
        </is>
      </c>
      <c r="E66">
        <f>SUM(E61:E65)</f>
      </c>
      <c r="I66">
        <f>SUM(I61:I65)</f>
      </c>
      <c r="J66">
        <f>SUM(J61:J65)</f>
      </c>
      <c r="K66">
        <f>SUM(K61:K65)</f>
      </c>
      <c r="M66">
        <f>SUM(M61:M65)</f>
      </c>
      <c r="N66">
        <f>SUM(N61:N65)</f>
      </c>
      <c r="O66">
        <f>SUM(O61:O65)</f>
      </c>
      <c r="F66">
        <f>IFERROR(AVERAGEIF(F61:F65,"&gt;0"),"")</f>
      </c>
      <c r="G66">
        <f>IFERROR(AVERAGEIF(G61:G65,"&gt;0"),"")</f>
      </c>
      <c r="H66">
        <f>IFERROR(AVERAGEIF(H61:H65,"&gt;0"),"")</f>
      </c>
      <c r="L66">
        <f>IFERROR(AVERAGEIF(L61:L65,"&gt;0"),"")</f>
      </c>
    </row>
    <row r="68" s="5" customFormat="1">
      <c r="A68" t="inlineStr">
        <is>
          <t>WEEK 9  -  31 Aug to 04 Sep 2026</t>
        </is>
      </c>
    </row>
    <row r="69">
      <c r="A69" s="1">
        <v>46265</v>
      </c>
      <c r="B69" t="inlineStr">
        <is>
          <t>W9</t>
        </is>
      </c>
      <c r="C69" t="inlineStr">
        <is>
          <t>Mon</t>
        </is>
      </c>
      <c r="D69" t="inlineStr">
        <is>
          <t>Email / Calls / LI</t>
        </is>
      </c>
      <c r="E69">
        <v>0</v>
      </c>
      <c r="I69">
        <v>0</v>
      </c>
      <c r="J69">
        <v>0</v>
      </c>
      <c r="K69">
        <v>0</v>
      </c>
      <c r="M69">
        <v>0</v>
      </c>
      <c r="N69">
        <v>0</v>
      </c>
      <c r="F69" s="2">
        <v>0</v>
      </c>
      <c r="G69" s="2">
        <v>0</v>
      </c>
      <c r="H69" s="2">
        <v>0</v>
      </c>
      <c r="L69">
        <f>IF(J69=0,"",K69/J69)</f>
      </c>
      <c r="O69">
        <f>IF(SUM(E69,J69,M69,N69)=0,"",SUM(E69,J69,M69,N69))</f>
      </c>
      <c r="P69" t="inlineStr">
        <is>
          <t/>
        </is>
      </c>
    </row>
    <row r="70">
      <c r="A70" s="1">
        <v>46266</v>
      </c>
      <c r="B70" t="inlineStr">
        <is>
          <t>W9</t>
        </is>
      </c>
      <c r="C70" t="inlineStr">
        <is>
          <t>Tue</t>
        </is>
      </c>
      <c r="D70" t="inlineStr">
        <is>
          <t>Email / Calls / LI</t>
        </is>
      </c>
      <c r="E70">
        <v>0</v>
      </c>
      <c r="I70">
        <v>0</v>
      </c>
      <c r="J70">
        <v>0</v>
      </c>
      <c r="K70">
        <v>0</v>
      </c>
      <c r="M70">
        <v>0</v>
      </c>
      <c r="N70">
        <v>0</v>
      </c>
      <c r="F70" s="2">
        <v>0</v>
      </c>
      <c r="G70" s="2">
        <v>0</v>
      </c>
      <c r="H70" s="2">
        <v>0</v>
      </c>
      <c r="L70">
        <f>IF(J70=0,"",K70/J70)</f>
      </c>
      <c r="O70">
        <f>IF(SUM(E70,J70,M70,N70)=0,"",SUM(E70,J70,M70,N70))</f>
      </c>
      <c r="P70" t="inlineStr">
        <is>
          <t/>
        </is>
      </c>
    </row>
    <row r="71">
      <c r="A71" s="1">
        <v>46267</v>
      </c>
      <c r="B71" t="inlineStr">
        <is>
          <t>W9</t>
        </is>
      </c>
      <c r="C71" t="inlineStr">
        <is>
          <t>Wed</t>
        </is>
      </c>
      <c r="D71" t="inlineStr">
        <is>
          <t>Email / Calls / LI</t>
        </is>
      </c>
      <c r="E71">
        <v>0</v>
      </c>
      <c r="I71">
        <v>0</v>
      </c>
      <c r="J71">
        <v>0</v>
      </c>
      <c r="K71">
        <v>0</v>
      </c>
      <c r="M71">
        <v>0</v>
      </c>
      <c r="N71">
        <v>0</v>
      </c>
      <c r="F71" s="2">
        <v>0</v>
      </c>
      <c r="G71" s="2">
        <v>0</v>
      </c>
      <c r="H71" s="2">
        <v>0</v>
      </c>
      <c r="L71">
        <f>IF(J71=0,"",K71/J71)</f>
      </c>
      <c r="O71">
        <f>IF(SUM(E71,J71,M71,N71)=0,"",SUM(E71,J71,M71,N71))</f>
      </c>
      <c r="P71" t="inlineStr">
        <is>
          <t/>
        </is>
      </c>
    </row>
    <row r="72">
      <c r="A72" s="1">
        <v>46268</v>
      </c>
      <c r="B72" t="inlineStr">
        <is>
          <t>W9</t>
        </is>
      </c>
      <c r="C72" t="inlineStr">
        <is>
          <t>Thu</t>
        </is>
      </c>
      <c r="D72" t="inlineStr">
        <is>
          <t>Email / Calls / LI</t>
        </is>
      </c>
      <c r="E72">
        <v>0</v>
      </c>
      <c r="I72">
        <v>0</v>
      </c>
      <c r="J72">
        <v>0</v>
      </c>
      <c r="K72">
        <v>0</v>
      </c>
      <c r="M72">
        <v>0</v>
      </c>
      <c r="N72">
        <v>0</v>
      </c>
      <c r="F72" s="2">
        <v>0</v>
      </c>
      <c r="G72" s="2">
        <v>0</v>
      </c>
      <c r="H72" s="2">
        <v>0</v>
      </c>
      <c r="L72">
        <f>IF(J72=0,"",K72/J72)</f>
      </c>
      <c r="O72">
        <f>IF(SUM(E72,J72,M72,N72)=0,"",SUM(E72,J72,M72,N72))</f>
      </c>
      <c r="P72" t="inlineStr">
        <is>
          <t/>
        </is>
      </c>
    </row>
    <row r="73">
      <c r="A73" s="1">
        <v>46269</v>
      </c>
      <c r="B73" t="inlineStr">
        <is>
          <t>W9</t>
        </is>
      </c>
      <c r="C73" t="inlineStr">
        <is>
          <t>Fri</t>
        </is>
      </c>
      <c r="D73" t="inlineStr">
        <is>
          <t>Email / Calls / LI</t>
        </is>
      </c>
      <c r="E73">
        <v>0</v>
      </c>
      <c r="I73">
        <v>0</v>
      </c>
      <c r="J73">
        <v>0</v>
      </c>
      <c r="K73">
        <v>0</v>
      </c>
      <c r="M73">
        <v>0</v>
      </c>
      <c r="N73">
        <v>0</v>
      </c>
      <c r="F73" s="2">
        <v>0</v>
      </c>
      <c r="G73" s="2">
        <v>0</v>
      </c>
      <c r="H73" s="2">
        <v>0</v>
      </c>
      <c r="L73">
        <f>IF(J73=0,"",K73/J73)</f>
      </c>
      <c r="O73">
        <f>IF(SUM(E73,J73,M73,N73)=0,"",SUM(E73,J73,M73,N73))</f>
      </c>
      <c r="P73" t="inlineStr">
        <is>
          <t/>
        </is>
      </c>
    </row>
    <row r="74" s="6" customFormat="1">
      <c r="A74" t="inlineStr">
        <is>
          <t>WK 9 TOTAL</t>
        </is>
      </c>
      <c r="E74">
        <f>SUM(E69:E73)</f>
      </c>
      <c r="I74">
        <f>SUM(I69:I73)</f>
      </c>
      <c r="J74">
        <f>SUM(J69:J73)</f>
      </c>
      <c r="K74">
        <f>SUM(K69:K73)</f>
      </c>
      <c r="M74">
        <f>SUM(M69:M73)</f>
      </c>
      <c r="N74">
        <f>SUM(N69:N73)</f>
      </c>
      <c r="O74">
        <f>SUM(O69:O73)</f>
      </c>
      <c r="F74">
        <f>IFERROR(AVERAGEIF(F69:F73,"&gt;0"),"")</f>
      </c>
      <c r="G74">
        <f>IFERROR(AVERAGEIF(G69:G73,"&gt;0"),"")</f>
      </c>
      <c r="H74">
        <f>IFERROR(AVERAGEIF(H69:H73,"&gt;0"),"")</f>
      </c>
      <c r="L74">
        <f>IFERROR(AVERAGEIF(L69:L73,"&gt;0"),"")</f>
      </c>
    </row>
    <row r="76" s="5" customFormat="1">
      <c r="A76" t="inlineStr">
        <is>
          <t>WEEK 10  -  07 Sep to 11 Sep 2026</t>
        </is>
      </c>
    </row>
    <row r="77">
      <c r="A77" s="1">
        <v>46272</v>
      </c>
      <c r="B77" t="inlineStr">
        <is>
          <t>W10</t>
        </is>
      </c>
      <c r="C77" t="inlineStr">
        <is>
          <t>Mon</t>
        </is>
      </c>
      <c r="D77" t="inlineStr">
        <is>
          <t>Email / Calls / LI</t>
        </is>
      </c>
      <c r="E77">
        <v>0</v>
      </c>
      <c r="I77">
        <v>0</v>
      </c>
      <c r="J77">
        <v>0</v>
      </c>
      <c r="K77">
        <v>0</v>
      </c>
      <c r="M77">
        <v>0</v>
      </c>
      <c r="N77">
        <v>0</v>
      </c>
      <c r="F77" s="2">
        <v>0</v>
      </c>
      <c r="G77" s="2">
        <v>0</v>
      </c>
      <c r="H77" s="2">
        <v>0</v>
      </c>
      <c r="L77">
        <f>IF(J77=0,"",K77/J77)</f>
      </c>
      <c r="O77">
        <f>IF(SUM(E77,J77,M77,N77)=0,"",SUM(E77,J77,M77,N77))</f>
      </c>
      <c r="P77" t="inlineStr">
        <is>
          <t/>
        </is>
      </c>
    </row>
    <row r="78">
      <c r="A78" s="1">
        <v>46273</v>
      </c>
      <c r="B78" t="inlineStr">
        <is>
          <t>W10</t>
        </is>
      </c>
      <c r="C78" t="inlineStr">
        <is>
          <t>Tue</t>
        </is>
      </c>
      <c r="D78" t="inlineStr">
        <is>
          <t>Email / Calls / LI</t>
        </is>
      </c>
      <c r="E78">
        <v>0</v>
      </c>
      <c r="I78">
        <v>0</v>
      </c>
      <c r="J78">
        <v>0</v>
      </c>
      <c r="K78">
        <v>0</v>
      </c>
      <c r="M78">
        <v>0</v>
      </c>
      <c r="N78">
        <v>0</v>
      </c>
      <c r="F78" s="2">
        <v>0</v>
      </c>
      <c r="G78" s="2">
        <v>0</v>
      </c>
      <c r="H78" s="2">
        <v>0</v>
      </c>
      <c r="L78">
        <f>IF(J78=0,"",K78/J78)</f>
      </c>
      <c r="O78">
        <f>IF(SUM(E78,J78,M78,N78)=0,"",SUM(E78,J78,M78,N78))</f>
      </c>
      <c r="P78" t="inlineStr">
        <is>
          <t/>
        </is>
      </c>
    </row>
    <row r="79">
      <c r="A79" s="1">
        <v>46274</v>
      </c>
      <c r="B79" t="inlineStr">
        <is>
          <t>W10</t>
        </is>
      </c>
      <c r="C79" t="inlineStr">
        <is>
          <t>Wed</t>
        </is>
      </c>
      <c r="D79" t="inlineStr">
        <is>
          <t>Email / Calls / LI</t>
        </is>
      </c>
      <c r="E79">
        <v>0</v>
      </c>
      <c r="I79">
        <v>0</v>
      </c>
      <c r="J79">
        <v>0</v>
      </c>
      <c r="K79">
        <v>0</v>
      </c>
      <c r="M79">
        <v>0</v>
      </c>
      <c r="N79">
        <v>0</v>
      </c>
      <c r="F79" s="2">
        <v>0</v>
      </c>
      <c r="G79" s="2">
        <v>0</v>
      </c>
      <c r="H79" s="2">
        <v>0</v>
      </c>
      <c r="L79">
        <f>IF(J79=0,"",K79/J79)</f>
      </c>
      <c r="O79">
        <f>IF(SUM(E79,J79,M79,N79)=0,"",SUM(E79,J79,M79,N79))</f>
      </c>
      <c r="P79" t="inlineStr">
        <is>
          <t/>
        </is>
      </c>
    </row>
    <row r="80">
      <c r="A80" s="1">
        <v>46275</v>
      </c>
      <c r="B80" t="inlineStr">
        <is>
          <t>W10</t>
        </is>
      </c>
      <c r="C80" t="inlineStr">
        <is>
          <t>Thu</t>
        </is>
      </c>
      <c r="D80" t="inlineStr">
        <is>
          <t>Email / Calls / LI</t>
        </is>
      </c>
      <c r="E80">
        <v>0</v>
      </c>
      <c r="I80">
        <v>0</v>
      </c>
      <c r="J80">
        <v>0</v>
      </c>
      <c r="K80">
        <v>0</v>
      </c>
      <c r="M80">
        <v>0</v>
      </c>
      <c r="N80">
        <v>0</v>
      </c>
      <c r="F80" s="2">
        <v>0</v>
      </c>
      <c r="G80" s="2">
        <v>0</v>
      </c>
      <c r="H80" s="2">
        <v>0</v>
      </c>
      <c r="L80">
        <f>IF(J80=0,"",K80/J80)</f>
      </c>
      <c r="O80">
        <f>IF(SUM(E80,J80,M80,N80)=0,"",SUM(E80,J80,M80,N80))</f>
      </c>
      <c r="P80" t="inlineStr">
        <is>
          <t/>
        </is>
      </c>
    </row>
    <row r="81">
      <c r="A81" s="1">
        <v>46276</v>
      </c>
      <c r="B81" t="inlineStr">
        <is>
          <t>W10</t>
        </is>
      </c>
      <c r="C81" t="inlineStr">
        <is>
          <t>Fri</t>
        </is>
      </c>
      <c r="D81" t="inlineStr">
        <is>
          <t>Email / Calls / LI</t>
        </is>
      </c>
      <c r="E81">
        <v>0</v>
      </c>
      <c r="I81">
        <v>0</v>
      </c>
      <c r="J81">
        <v>0</v>
      </c>
      <c r="K81">
        <v>0</v>
      </c>
      <c r="M81">
        <v>0</v>
      </c>
      <c r="N81">
        <v>0</v>
      </c>
      <c r="F81" s="2">
        <v>0</v>
      </c>
      <c r="G81" s="2">
        <v>0</v>
      </c>
      <c r="H81" s="2">
        <v>0</v>
      </c>
      <c r="L81">
        <f>IF(J81=0,"",K81/J81)</f>
      </c>
      <c r="O81">
        <f>IF(SUM(E81,J81,M81,N81)=0,"",SUM(E81,J81,M81,N81))</f>
      </c>
      <c r="P81" t="inlineStr">
        <is>
          <t/>
        </is>
      </c>
    </row>
    <row r="82" s="6" customFormat="1">
      <c r="A82" t="inlineStr">
        <is>
          <t>WK 10 TOTAL</t>
        </is>
      </c>
      <c r="E82">
        <f>SUM(E77:E81)</f>
      </c>
      <c r="I82">
        <f>SUM(I77:I81)</f>
      </c>
      <c r="J82">
        <f>SUM(J77:J81)</f>
      </c>
      <c r="K82">
        <f>SUM(K77:K81)</f>
      </c>
      <c r="M82">
        <f>SUM(M77:M81)</f>
      </c>
      <c r="N82">
        <f>SUM(N77:N81)</f>
      </c>
      <c r="O82">
        <f>SUM(O77:O81)</f>
      </c>
      <c r="F82">
        <f>IFERROR(AVERAGEIF(F77:F81,"&gt;0"),"")</f>
      </c>
      <c r="G82">
        <f>IFERROR(AVERAGEIF(G77:G81,"&gt;0"),"")</f>
      </c>
      <c r="H82">
        <f>IFERROR(AVERAGEIF(H77:H81,"&gt;0"),"")</f>
      </c>
      <c r="L82">
        <f>IFERROR(AVERAGEIF(L77:L81,"&gt;0"),"")</f>
      </c>
    </row>
    <row r="84" s="5" customFormat="1">
      <c r="A84" t="inlineStr">
        <is>
          <t>WEEK 11  -  14 Sep to 18 Sep 2026</t>
        </is>
      </c>
    </row>
    <row r="85">
      <c r="A85" s="1">
        <v>46279</v>
      </c>
      <c r="B85" t="inlineStr">
        <is>
          <t>W11</t>
        </is>
      </c>
      <c r="C85" t="inlineStr">
        <is>
          <t>Mon</t>
        </is>
      </c>
      <c r="D85" t="inlineStr">
        <is>
          <t>Email / Calls / LI</t>
        </is>
      </c>
      <c r="E85">
        <v>0</v>
      </c>
      <c r="I85">
        <v>0</v>
      </c>
      <c r="J85">
        <v>0</v>
      </c>
      <c r="K85">
        <v>0</v>
      </c>
      <c r="M85">
        <v>0</v>
      </c>
      <c r="N85">
        <v>0</v>
      </c>
      <c r="F85" s="2">
        <v>0</v>
      </c>
      <c r="G85" s="2">
        <v>0</v>
      </c>
      <c r="H85" s="2">
        <v>0</v>
      </c>
      <c r="L85">
        <f>IF(J85=0,"",K85/J85)</f>
      </c>
      <c r="O85">
        <f>IF(SUM(E85,J85,M85,N85)=0,"",SUM(E85,J85,M85,N85))</f>
      </c>
      <c r="P85" t="inlineStr">
        <is>
          <t/>
        </is>
      </c>
    </row>
    <row r="86">
      <c r="A86" s="1">
        <v>46280</v>
      </c>
      <c r="B86" t="inlineStr">
        <is>
          <t>W11</t>
        </is>
      </c>
      <c r="C86" t="inlineStr">
        <is>
          <t>Tue</t>
        </is>
      </c>
      <c r="D86" t="inlineStr">
        <is>
          <t>Email / Calls / LI</t>
        </is>
      </c>
      <c r="E86">
        <v>0</v>
      </c>
      <c r="I86">
        <v>0</v>
      </c>
      <c r="J86">
        <v>0</v>
      </c>
      <c r="K86">
        <v>0</v>
      </c>
      <c r="M86">
        <v>0</v>
      </c>
      <c r="N86">
        <v>0</v>
      </c>
      <c r="F86" s="2">
        <v>0</v>
      </c>
      <c r="G86" s="2">
        <v>0</v>
      </c>
      <c r="H86" s="2">
        <v>0</v>
      </c>
      <c r="L86">
        <f>IF(J86=0,"",K86/J86)</f>
      </c>
      <c r="O86">
        <f>IF(SUM(E86,J86,M86,N86)=0,"",SUM(E86,J86,M86,N86))</f>
      </c>
      <c r="P86" t="inlineStr">
        <is>
          <t/>
        </is>
      </c>
    </row>
    <row r="87">
      <c r="A87" s="1">
        <v>46281</v>
      </c>
      <c r="B87" t="inlineStr">
        <is>
          <t>W11</t>
        </is>
      </c>
      <c r="C87" t="inlineStr">
        <is>
          <t>Wed</t>
        </is>
      </c>
      <c r="D87" t="inlineStr">
        <is>
          <t>Email / Calls / LI</t>
        </is>
      </c>
      <c r="E87">
        <v>0</v>
      </c>
      <c r="I87">
        <v>0</v>
      </c>
      <c r="J87">
        <v>0</v>
      </c>
      <c r="K87">
        <v>0</v>
      </c>
      <c r="M87">
        <v>0</v>
      </c>
      <c r="N87">
        <v>0</v>
      </c>
      <c r="F87" s="2">
        <v>0</v>
      </c>
      <c r="G87" s="2">
        <v>0</v>
      </c>
      <c r="H87" s="2">
        <v>0</v>
      </c>
      <c r="L87">
        <f>IF(J87=0,"",K87/J87)</f>
      </c>
      <c r="O87">
        <f>IF(SUM(E87,J87,M87,N87)=0,"",SUM(E87,J87,M87,N87))</f>
      </c>
      <c r="P87" t="inlineStr">
        <is>
          <t/>
        </is>
      </c>
    </row>
    <row r="88">
      <c r="A88" s="1">
        <v>46282</v>
      </c>
      <c r="B88" t="inlineStr">
        <is>
          <t>W11</t>
        </is>
      </c>
      <c r="C88" t="inlineStr">
        <is>
          <t>Thu</t>
        </is>
      </c>
      <c r="D88" t="inlineStr">
        <is>
          <t>Email / Calls / LI</t>
        </is>
      </c>
      <c r="E88">
        <v>0</v>
      </c>
      <c r="I88">
        <v>0</v>
      </c>
      <c r="J88">
        <v>0</v>
      </c>
      <c r="K88">
        <v>0</v>
      </c>
      <c r="M88">
        <v>0</v>
      </c>
      <c r="N88">
        <v>0</v>
      </c>
      <c r="F88" s="2">
        <v>0</v>
      </c>
      <c r="G88" s="2">
        <v>0</v>
      </c>
      <c r="H88" s="2">
        <v>0</v>
      </c>
      <c r="L88">
        <f>IF(J88=0,"",K88/J88)</f>
      </c>
      <c r="O88">
        <f>IF(SUM(E88,J88,M88,N88)=0,"",SUM(E88,J88,M88,N88))</f>
      </c>
      <c r="P88" t="inlineStr">
        <is>
          <t/>
        </is>
      </c>
    </row>
    <row r="89">
      <c r="A89" s="1">
        <v>46283</v>
      </c>
      <c r="B89" t="inlineStr">
        <is>
          <t>W11</t>
        </is>
      </c>
      <c r="C89" t="inlineStr">
        <is>
          <t>Fri</t>
        </is>
      </c>
      <c r="D89" t="inlineStr">
        <is>
          <t>Email / Calls / LI</t>
        </is>
      </c>
      <c r="E89">
        <v>0</v>
      </c>
      <c r="I89">
        <v>0</v>
      </c>
      <c r="J89">
        <v>0</v>
      </c>
      <c r="K89">
        <v>0</v>
      </c>
      <c r="M89">
        <v>0</v>
      </c>
      <c r="N89">
        <v>0</v>
      </c>
      <c r="F89" s="2">
        <v>0</v>
      </c>
      <c r="G89" s="2">
        <v>0</v>
      </c>
      <c r="H89" s="2">
        <v>0</v>
      </c>
      <c r="L89">
        <f>IF(J89=0,"",K89/J89)</f>
      </c>
      <c r="O89">
        <f>IF(SUM(E89,J89,M89,N89)=0,"",SUM(E89,J89,M89,N89))</f>
      </c>
      <c r="P89" t="inlineStr">
        <is>
          <t/>
        </is>
      </c>
    </row>
    <row r="90" s="6" customFormat="1">
      <c r="A90" t="inlineStr">
        <is>
          <t>WK 11 TOTAL</t>
        </is>
      </c>
      <c r="E90">
        <f>SUM(E85:E89)</f>
      </c>
      <c r="I90">
        <f>SUM(I85:I89)</f>
      </c>
      <c r="J90">
        <f>SUM(J85:J89)</f>
      </c>
      <c r="K90">
        <f>SUM(K85:K89)</f>
      </c>
      <c r="M90">
        <f>SUM(M85:M89)</f>
      </c>
      <c r="N90">
        <f>SUM(N85:N89)</f>
      </c>
      <c r="O90">
        <f>SUM(O85:O89)</f>
      </c>
      <c r="F90">
        <f>IFERROR(AVERAGEIF(F85:F89,"&gt;0"),"")</f>
      </c>
      <c r="G90">
        <f>IFERROR(AVERAGEIF(G85:G89,"&gt;0"),"")</f>
      </c>
      <c r="H90">
        <f>IFERROR(AVERAGEIF(H85:H89,"&gt;0"),"")</f>
      </c>
      <c r="L90">
        <f>IFERROR(AVERAGEIF(L85:L89,"&gt;0"),"")</f>
      </c>
    </row>
    <row r="92" s="5" customFormat="1">
      <c r="A92" t="inlineStr">
        <is>
          <t>WEEK 12  -  21 Sep to 25 Sep 2026</t>
        </is>
      </c>
    </row>
    <row r="93">
      <c r="A93" s="1">
        <v>46286</v>
      </c>
      <c r="B93" t="inlineStr">
        <is>
          <t>W12</t>
        </is>
      </c>
      <c r="C93" t="inlineStr">
        <is>
          <t>Mon</t>
        </is>
      </c>
      <c r="D93" t="inlineStr">
        <is>
          <t>Email / Calls / LI</t>
        </is>
      </c>
      <c r="E93">
        <v>0</v>
      </c>
      <c r="I93">
        <v>0</v>
      </c>
      <c r="J93">
        <v>0</v>
      </c>
      <c r="K93">
        <v>0</v>
      </c>
      <c r="M93">
        <v>0</v>
      </c>
      <c r="N93">
        <v>0</v>
      </c>
      <c r="F93" s="2">
        <v>0</v>
      </c>
      <c r="G93" s="2">
        <v>0</v>
      </c>
      <c r="H93" s="2">
        <v>0</v>
      </c>
      <c r="L93">
        <f>IF(J93=0,"",K93/J93)</f>
      </c>
      <c r="O93">
        <f>IF(SUM(E93,J93,M93,N93)=0,"",SUM(E93,J93,M93,N93))</f>
      </c>
      <c r="P93" t="inlineStr">
        <is>
          <t/>
        </is>
      </c>
    </row>
    <row r="94">
      <c r="A94" s="1">
        <v>46287</v>
      </c>
      <c r="B94" t="inlineStr">
        <is>
          <t>W12</t>
        </is>
      </c>
      <c r="C94" t="inlineStr">
        <is>
          <t>Tue</t>
        </is>
      </c>
      <c r="D94" t="inlineStr">
        <is>
          <t>Email / Calls / LI</t>
        </is>
      </c>
      <c r="E94">
        <v>0</v>
      </c>
      <c r="I94">
        <v>0</v>
      </c>
      <c r="J94">
        <v>0</v>
      </c>
      <c r="K94">
        <v>0</v>
      </c>
      <c r="M94">
        <v>0</v>
      </c>
      <c r="N94">
        <v>0</v>
      </c>
      <c r="F94" s="2">
        <v>0</v>
      </c>
      <c r="G94" s="2">
        <v>0</v>
      </c>
      <c r="H94" s="2">
        <v>0</v>
      </c>
      <c r="L94">
        <f>IF(J94=0,"",K94/J94)</f>
      </c>
      <c r="O94">
        <f>IF(SUM(E94,J94,M94,N94)=0,"",SUM(E94,J94,M94,N94))</f>
      </c>
      <c r="P94" t="inlineStr">
        <is>
          <t/>
        </is>
      </c>
    </row>
    <row r="95">
      <c r="A95" s="1">
        <v>46288</v>
      </c>
      <c r="B95" t="inlineStr">
        <is>
          <t>W12</t>
        </is>
      </c>
      <c r="C95" t="inlineStr">
        <is>
          <t>Wed</t>
        </is>
      </c>
      <c r="D95" t="inlineStr">
        <is>
          <t>Email / Calls / LI</t>
        </is>
      </c>
      <c r="E95">
        <v>0</v>
      </c>
      <c r="I95">
        <v>0</v>
      </c>
      <c r="J95">
        <v>0</v>
      </c>
      <c r="K95">
        <v>0</v>
      </c>
      <c r="M95">
        <v>0</v>
      </c>
      <c r="N95">
        <v>0</v>
      </c>
      <c r="F95" s="2">
        <v>0</v>
      </c>
      <c r="G95" s="2">
        <v>0</v>
      </c>
      <c r="H95" s="2">
        <v>0</v>
      </c>
      <c r="L95">
        <f>IF(J95=0,"",K95/J95)</f>
      </c>
      <c r="O95">
        <f>IF(SUM(E95,J95,M95,N95)=0,"",SUM(E95,J95,M95,N95))</f>
      </c>
      <c r="P95" t="inlineStr">
        <is>
          <t/>
        </is>
      </c>
    </row>
    <row r="96">
      <c r="A96" s="1">
        <v>46289</v>
      </c>
      <c r="B96" t="inlineStr">
        <is>
          <t>W12</t>
        </is>
      </c>
      <c r="C96" t="inlineStr">
        <is>
          <t>Thu</t>
        </is>
      </c>
      <c r="D96" t="inlineStr">
        <is>
          <t>Email / Calls / LI</t>
        </is>
      </c>
      <c r="E96">
        <v>0</v>
      </c>
      <c r="I96">
        <v>0</v>
      </c>
      <c r="J96">
        <v>0</v>
      </c>
      <c r="K96">
        <v>0</v>
      </c>
      <c r="M96">
        <v>0</v>
      </c>
      <c r="N96">
        <v>0</v>
      </c>
      <c r="F96" s="2">
        <v>0</v>
      </c>
      <c r="G96" s="2">
        <v>0</v>
      </c>
      <c r="H96" s="2">
        <v>0</v>
      </c>
      <c r="L96">
        <f>IF(J96=0,"",K96/J96)</f>
      </c>
      <c r="O96">
        <f>IF(SUM(E96,J96,M96,N96)=0,"",SUM(E96,J96,M96,N96))</f>
      </c>
      <c r="P96" t="inlineStr">
        <is>
          <t/>
        </is>
      </c>
    </row>
    <row r="97">
      <c r="A97" s="1">
        <v>46290</v>
      </c>
      <c r="B97" t="inlineStr">
        <is>
          <t>W12</t>
        </is>
      </c>
      <c r="C97" t="inlineStr">
        <is>
          <t>Fri</t>
        </is>
      </c>
      <c r="D97" t="inlineStr">
        <is>
          <t>Email / Calls / LI</t>
        </is>
      </c>
      <c r="E97">
        <v>0</v>
      </c>
      <c r="I97">
        <v>0</v>
      </c>
      <c r="J97">
        <v>0</v>
      </c>
      <c r="K97">
        <v>0</v>
      </c>
      <c r="M97">
        <v>0</v>
      </c>
      <c r="N97">
        <v>0</v>
      </c>
      <c r="F97" s="2">
        <v>0</v>
      </c>
      <c r="G97" s="2">
        <v>0</v>
      </c>
      <c r="H97" s="2">
        <v>0</v>
      </c>
      <c r="L97">
        <f>IF(J97=0,"",K97/J97)</f>
      </c>
      <c r="O97">
        <f>IF(SUM(E97,J97,M97,N97)=0,"",SUM(E97,J97,M97,N97))</f>
      </c>
      <c r="P97" t="inlineStr">
        <is>
          <t/>
        </is>
      </c>
    </row>
    <row r="98" s="6" customFormat="1">
      <c r="A98" t="inlineStr">
        <is>
          <t>WK 12 TOTAL</t>
        </is>
      </c>
      <c r="E98">
        <f>SUM(E93:E97)</f>
      </c>
      <c r="I98">
        <f>SUM(I93:I97)</f>
      </c>
      <c r="J98">
        <f>SUM(J93:J97)</f>
      </c>
      <c r="K98">
        <f>SUM(K93:K97)</f>
      </c>
      <c r="M98">
        <f>SUM(M93:M97)</f>
      </c>
      <c r="N98">
        <f>SUM(N93:N97)</f>
      </c>
      <c r="O98">
        <f>SUM(O93:O97)</f>
      </c>
      <c r="F98">
        <f>IFERROR(AVERAGEIF(F93:F97,"&gt;0"),"")</f>
      </c>
      <c r="G98">
        <f>IFERROR(AVERAGEIF(G93:G97,"&gt;0"),"")</f>
      </c>
      <c r="H98">
        <f>IFERROR(AVERAGEIF(H93:H97,"&gt;0"),"")</f>
      </c>
      <c r="L98">
        <f>IFERROR(AVERAGEIF(L93:L97,"&gt;0"),"")</f>
      </c>
    </row>
  </sheetData>
  <mergeCells>
    <mergeCell ref="A1:P1"/>
    <mergeCell ref="A4:P4"/>
    <mergeCell ref="A10:C10"/>
    <mergeCell ref="A12:P12"/>
    <mergeCell ref="A18:C18"/>
    <mergeCell ref="A20:P20"/>
    <mergeCell ref="A26:C26"/>
    <mergeCell ref="A28:P28"/>
    <mergeCell ref="A34:C34"/>
    <mergeCell ref="A36:P36"/>
    <mergeCell ref="A42:C42"/>
    <mergeCell ref="A44:P44"/>
    <mergeCell ref="A50:C50"/>
    <mergeCell ref="A52:P52"/>
    <mergeCell ref="A58:C58"/>
    <mergeCell ref="A60:P60"/>
    <mergeCell ref="A66:C66"/>
    <mergeCell ref="A68:P68"/>
    <mergeCell ref="A74:C74"/>
    <mergeCell ref="A76:P76"/>
    <mergeCell ref="A82:C82"/>
    <mergeCell ref="A84:P84"/>
    <mergeCell ref="A90:C90"/>
    <mergeCell ref="A92:P92"/>
    <mergeCell ref="A98:C98"/>
  </mergeCell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 s="3" customFormat="1">
      <c r="A1" t="inlineStr" s="3">
        <is>
          <t>TARGETS    300+ emails/wk &gt;35% open &gt;5% reply &gt;3% pos  80 calls/day &gt;15% conv rate  50+ connects   </t>
        </is>
      </c>
    </row>
    <row r="2" s="7" customFormat="1">
      <c r="A2" t="inlineStr">
        <is>
          <t>TARGETS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&gt;10%</t>
        </is>
      </c>
      <c r="F2" t="inlineStr">
        <is>
          <t/>
        </is>
      </c>
      <c r="G2" t="inlineStr">
        <is>
          <t>&gt;70%</t>
        </is>
      </c>
      <c r="H2" t="inlineStr">
        <is>
          <t/>
        </is>
      </c>
      <c r="I2" t="inlineStr">
        <is>
          <t>&gt;50%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&gt;30%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 s="4" customFormat="1">
      <c r="A3" t="inlineStr">
        <is>
          <t>WEEK</t>
        </is>
      </c>
      <c r="B3" t="inlineStr">
        <is>
          <t>WEEK START</t>
        </is>
      </c>
      <c r="C3" t="inlineStr">
        <is>
          <t>POS REPLIES</t>
        </is>
      </c>
      <c r="D3" t="inlineStr">
        <is>
          <t>MTGS BOOKED</t>
        </is>
      </c>
      <c r="E3" t="inlineStr">
        <is>
          <t>REPLY-BOOK %</t>
        </is>
      </c>
      <c r="F3" t="inlineStr">
        <is>
          <t>MTGS HELD</t>
        </is>
      </c>
      <c r="G3" t="inlineStr">
        <is>
          <t>SHOW RATE</t>
        </is>
      </c>
      <c r="H3" t="inlineStr">
        <is>
          <t>NO-SHOWS</t>
        </is>
      </c>
      <c r="I3" t="inlineStr">
        <is>
          <t>RECOVERED</t>
        </is>
      </c>
      <c r="J3" t="inlineStr">
        <is>
          <t>RECOVERY %</t>
        </is>
      </c>
      <c r="K3" t="inlineStr">
        <is>
          <t>DISCO HELD</t>
        </is>
      </c>
      <c r="L3" t="inlineStr">
        <is>
          <t>QUAL 4.0+</t>
        </is>
      </c>
      <c r="M3" t="inlineStr">
        <is>
          <t>QUAL RATE</t>
        </is>
      </c>
      <c r="N3" t="inlineStr">
        <is>
          <t>PROPOSALS</t>
        </is>
      </c>
      <c r="O3" t="inlineStr">
        <is>
          <t>WON</t>
        </is>
      </c>
      <c r="P3" t="inlineStr">
        <is>
          <t>WIN RATE</t>
        </is>
      </c>
      <c r="Q3" t="inlineStr">
        <is>
          <t>NEW MRR USD</t>
        </is>
      </c>
      <c r="R3" t="inlineStr">
        <is>
          <t>NOTES</t>
        </is>
      </c>
    </row>
    <row r="4">
      <c r="A4" t="inlineStr">
        <is>
          <t>W1</t>
        </is>
      </c>
      <c r="B4" s="1">
        <v>46210</v>
      </c>
      <c r="C4">
        <v>0</v>
      </c>
      <c r="D4">
        <v>0</v>
      </c>
      <c r="F4">
        <v>0</v>
      </c>
      <c r="H4">
        <v>0</v>
      </c>
      <c r="I4">
        <v>0</v>
      </c>
      <c r="K4">
        <v>0</v>
      </c>
      <c r="L4">
        <v>0</v>
      </c>
      <c r="N4">
        <v>0</v>
      </c>
      <c r="O4">
        <v>0</v>
      </c>
      <c r="Q4">
        <v>0</v>
      </c>
      <c r="R4" t="inlineStr">
        <is>
          <t/>
        </is>
      </c>
      <c r="E4">
        <f>IF(C4=0,"",D4/C4)</f>
      </c>
      <c r="G4">
        <f>IF(D4=0,"",F4/D4)</f>
      </c>
      <c r="J4">
        <f>IF(H4=0,"",I4/H4)</f>
      </c>
      <c r="M4">
        <f>IF(K4=0,"",L4/K4)</f>
      </c>
      <c r="P4">
        <f>IF(N4=0,"",O4/N4)</f>
      </c>
    </row>
    <row r="5">
      <c r="A5" t="inlineStr">
        <is>
          <t>W2</t>
        </is>
      </c>
      <c r="B5" s="1">
        <v>46217</v>
      </c>
      <c r="C5">
        <v>0</v>
      </c>
      <c r="D5">
        <v>0</v>
      </c>
      <c r="F5">
        <v>0</v>
      </c>
      <c r="H5">
        <v>0</v>
      </c>
      <c r="I5">
        <v>0</v>
      </c>
      <c r="K5">
        <v>0</v>
      </c>
      <c r="L5">
        <v>0</v>
      </c>
      <c r="N5">
        <v>0</v>
      </c>
      <c r="O5">
        <v>0</v>
      </c>
      <c r="Q5">
        <v>0</v>
      </c>
      <c r="R5" t="inlineStr">
        <is>
          <t/>
        </is>
      </c>
      <c r="E5">
        <f>IF(C5=0,"",D5/C5)</f>
      </c>
      <c r="G5">
        <f>IF(D5=0,"",F5/D5)</f>
      </c>
      <c r="J5">
        <f>IF(H5=0,"",I5/H5)</f>
      </c>
      <c r="M5">
        <f>IF(K5=0,"",L5/K5)</f>
      </c>
      <c r="P5">
        <f>IF(N5=0,"",O5/N5)</f>
      </c>
    </row>
    <row r="6">
      <c r="A6" t="inlineStr">
        <is>
          <t>W3</t>
        </is>
      </c>
      <c r="B6" s="1">
        <v>46224</v>
      </c>
      <c r="C6">
        <v>0</v>
      </c>
      <c r="D6">
        <v>0</v>
      </c>
      <c r="F6">
        <v>0</v>
      </c>
      <c r="H6">
        <v>0</v>
      </c>
      <c r="I6">
        <v>0</v>
      </c>
      <c r="K6">
        <v>0</v>
      </c>
      <c r="L6">
        <v>0</v>
      </c>
      <c r="N6">
        <v>0</v>
      </c>
      <c r="O6">
        <v>0</v>
      </c>
      <c r="Q6">
        <v>0</v>
      </c>
      <c r="R6" t="inlineStr">
        <is>
          <t/>
        </is>
      </c>
      <c r="E6">
        <f>IF(C6=0,"",D6/C6)</f>
      </c>
      <c r="G6">
        <f>IF(D6=0,"",F6/D6)</f>
      </c>
      <c r="J6">
        <f>IF(H6=0,"",I6/H6)</f>
      </c>
      <c r="M6">
        <f>IF(K6=0,"",L6/K6)</f>
      </c>
      <c r="P6">
        <f>IF(N6=0,"",O6/N6)</f>
      </c>
    </row>
    <row r="7">
      <c r="A7" t="inlineStr">
        <is>
          <t>W4</t>
        </is>
      </c>
      <c r="B7" s="1">
        <v>46231</v>
      </c>
      <c r="C7">
        <v>0</v>
      </c>
      <c r="D7">
        <v>0</v>
      </c>
      <c r="F7">
        <v>0</v>
      </c>
      <c r="H7">
        <v>0</v>
      </c>
      <c r="I7">
        <v>0</v>
      </c>
      <c r="K7">
        <v>0</v>
      </c>
      <c r="L7">
        <v>0</v>
      </c>
      <c r="N7">
        <v>0</v>
      </c>
      <c r="O7">
        <v>0</v>
      </c>
      <c r="Q7">
        <v>0</v>
      </c>
      <c r="R7" t="inlineStr">
        <is>
          <t/>
        </is>
      </c>
      <c r="E7">
        <f>IF(C7=0,"",D7/C7)</f>
      </c>
      <c r="G7">
        <f>IF(D7=0,"",F7/D7)</f>
      </c>
      <c r="J7">
        <f>IF(H7=0,"",I7/H7)</f>
      </c>
      <c r="M7">
        <f>IF(K7=0,"",L7/K7)</f>
      </c>
      <c r="P7">
        <f>IF(N7=0,"",O7/N7)</f>
      </c>
    </row>
    <row r="8">
      <c r="A8" t="inlineStr">
        <is>
          <t>W5</t>
        </is>
      </c>
      <c r="B8" s="1">
        <v>46238</v>
      </c>
      <c r="C8">
        <v>0</v>
      </c>
      <c r="D8">
        <v>0</v>
      </c>
      <c r="F8">
        <v>0</v>
      </c>
      <c r="H8">
        <v>0</v>
      </c>
      <c r="I8">
        <v>0</v>
      </c>
      <c r="K8">
        <v>0</v>
      </c>
      <c r="L8">
        <v>0</v>
      </c>
      <c r="N8">
        <v>0</v>
      </c>
      <c r="O8">
        <v>0</v>
      </c>
      <c r="Q8">
        <v>0</v>
      </c>
      <c r="R8" t="inlineStr">
        <is>
          <t/>
        </is>
      </c>
      <c r="E8">
        <f>IF(C8=0,"",D8/C8)</f>
      </c>
      <c r="G8">
        <f>IF(D8=0,"",F8/D8)</f>
      </c>
      <c r="J8">
        <f>IF(H8=0,"",I8/H8)</f>
      </c>
      <c r="M8">
        <f>IF(K8=0,"",L8/K8)</f>
      </c>
      <c r="P8">
        <f>IF(N8=0,"",O8/N8)</f>
      </c>
    </row>
    <row r="9">
      <c r="A9" t="inlineStr">
        <is>
          <t>W6</t>
        </is>
      </c>
      <c r="B9" s="1">
        <v>46245</v>
      </c>
      <c r="C9">
        <v>0</v>
      </c>
      <c r="D9">
        <v>0</v>
      </c>
      <c r="F9">
        <v>0</v>
      </c>
      <c r="H9">
        <v>0</v>
      </c>
      <c r="I9">
        <v>0</v>
      </c>
      <c r="K9">
        <v>0</v>
      </c>
      <c r="L9">
        <v>0</v>
      </c>
      <c r="N9">
        <v>0</v>
      </c>
      <c r="O9">
        <v>0</v>
      </c>
      <c r="Q9">
        <v>0</v>
      </c>
      <c r="R9" t="inlineStr">
        <is>
          <t/>
        </is>
      </c>
      <c r="E9">
        <f>IF(C9=0,"",D9/C9)</f>
      </c>
      <c r="G9">
        <f>IF(D9=0,"",F9/D9)</f>
      </c>
      <c r="J9">
        <f>IF(H9=0,"",I9/H9)</f>
      </c>
      <c r="M9">
        <f>IF(K9=0,"",L9/K9)</f>
      </c>
      <c r="P9">
        <f>IF(N9=0,"",O9/N9)</f>
      </c>
    </row>
    <row r="10">
      <c r="A10" t="inlineStr">
        <is>
          <t>W7</t>
        </is>
      </c>
      <c r="B10" s="1">
        <v>46252</v>
      </c>
      <c r="C10">
        <v>0</v>
      </c>
      <c r="D10">
        <v>0</v>
      </c>
      <c r="F10">
        <v>0</v>
      </c>
      <c r="H10">
        <v>0</v>
      </c>
      <c r="I10">
        <v>0</v>
      </c>
      <c r="K10">
        <v>0</v>
      </c>
      <c r="L10">
        <v>0</v>
      </c>
      <c r="N10">
        <v>0</v>
      </c>
      <c r="O10">
        <v>0</v>
      </c>
      <c r="Q10">
        <v>0</v>
      </c>
      <c r="R10" t="inlineStr">
        <is>
          <t/>
        </is>
      </c>
      <c r="E10">
        <f>IF(C10=0,"",D10/C10)</f>
      </c>
      <c r="G10">
        <f>IF(D10=0,"",F10/D10)</f>
      </c>
      <c r="J10">
        <f>IF(H10=0,"",I10/H10)</f>
      </c>
      <c r="M10">
        <f>IF(K10=0,"",L10/K10)</f>
      </c>
      <c r="P10">
        <f>IF(N10=0,"",O10/N10)</f>
      </c>
    </row>
    <row r="11">
      <c r="A11" t="inlineStr">
        <is>
          <t>W8</t>
        </is>
      </c>
      <c r="B11" s="1">
        <v>46259</v>
      </c>
      <c r="C11">
        <v>0</v>
      </c>
      <c r="D11">
        <v>0</v>
      </c>
      <c r="F11">
        <v>0</v>
      </c>
      <c r="H11">
        <v>0</v>
      </c>
      <c r="I11">
        <v>0</v>
      </c>
      <c r="K11">
        <v>0</v>
      </c>
      <c r="L11">
        <v>0</v>
      </c>
      <c r="N11">
        <v>0</v>
      </c>
      <c r="O11">
        <v>0</v>
      </c>
      <c r="Q11">
        <v>0</v>
      </c>
      <c r="R11" t="inlineStr">
        <is>
          <t/>
        </is>
      </c>
      <c r="E11">
        <f>IF(C11=0,"",D11/C11)</f>
      </c>
      <c r="G11">
        <f>IF(D11=0,"",F11/D11)</f>
      </c>
      <c r="J11">
        <f>IF(H11=0,"",I11/H11)</f>
      </c>
      <c r="M11">
        <f>IF(K11=0,"",L11/K11)</f>
      </c>
      <c r="P11">
        <f>IF(N11=0,"",O11/N11)</f>
      </c>
    </row>
    <row r="12">
      <c r="A12" t="inlineStr">
        <is>
          <t>W9</t>
        </is>
      </c>
      <c r="B12" s="1">
        <v>46266</v>
      </c>
      <c r="C12">
        <v>0</v>
      </c>
      <c r="D12">
        <v>0</v>
      </c>
      <c r="F12">
        <v>0</v>
      </c>
      <c r="H12">
        <v>0</v>
      </c>
      <c r="I12">
        <v>0</v>
      </c>
      <c r="K12">
        <v>0</v>
      </c>
      <c r="L12">
        <v>0</v>
      </c>
      <c r="N12">
        <v>0</v>
      </c>
      <c r="O12">
        <v>0</v>
      </c>
      <c r="Q12">
        <v>0</v>
      </c>
      <c r="R12" t="inlineStr">
        <is>
          <t/>
        </is>
      </c>
      <c r="E12">
        <f>IF(C12=0,"",D12/C12)</f>
      </c>
      <c r="G12">
        <f>IF(D12=0,"",F12/D12)</f>
      </c>
      <c r="J12">
        <f>IF(H12=0,"",I12/H12)</f>
      </c>
      <c r="M12">
        <f>IF(K12=0,"",L12/K12)</f>
      </c>
      <c r="P12">
        <f>IF(N12=0,"",O12/N12)</f>
      </c>
    </row>
    <row r="13">
      <c r="A13" t="inlineStr">
        <is>
          <t>W10</t>
        </is>
      </c>
      <c r="B13" s="1">
        <v>46273</v>
      </c>
      <c r="C13">
        <v>0</v>
      </c>
      <c r="D13">
        <v>0</v>
      </c>
      <c r="F13">
        <v>0</v>
      </c>
      <c r="H13">
        <v>0</v>
      </c>
      <c r="I13">
        <v>0</v>
      </c>
      <c r="K13">
        <v>0</v>
      </c>
      <c r="L13">
        <v>0</v>
      </c>
      <c r="N13">
        <v>0</v>
      </c>
      <c r="O13">
        <v>0</v>
      </c>
      <c r="Q13">
        <v>0</v>
      </c>
      <c r="R13" t="inlineStr">
        <is>
          <t/>
        </is>
      </c>
      <c r="E13">
        <f>IF(C13=0,"",D13/C13)</f>
      </c>
      <c r="G13">
        <f>IF(D13=0,"",F13/D13)</f>
      </c>
      <c r="J13">
        <f>IF(H13=0,"",I13/H13)</f>
      </c>
      <c r="M13">
        <f>IF(K13=0,"",L13/K13)</f>
      </c>
      <c r="P13">
        <f>IF(N13=0,"",O13/N13)</f>
      </c>
    </row>
    <row r="14">
      <c r="A14" t="inlineStr">
        <is>
          <t>W11</t>
        </is>
      </c>
      <c r="B14" s="1">
        <v>46280</v>
      </c>
      <c r="C14">
        <v>0</v>
      </c>
      <c r="D14">
        <v>0</v>
      </c>
      <c r="F14">
        <v>0</v>
      </c>
      <c r="H14">
        <v>0</v>
      </c>
      <c r="I14">
        <v>0</v>
      </c>
      <c r="K14">
        <v>0</v>
      </c>
      <c r="L14">
        <v>0</v>
      </c>
      <c r="N14">
        <v>0</v>
      </c>
      <c r="O14">
        <v>0</v>
      </c>
      <c r="Q14">
        <v>0</v>
      </c>
      <c r="R14" t="inlineStr">
        <is>
          <t/>
        </is>
      </c>
      <c r="E14">
        <f>IF(C14=0,"",D14/C14)</f>
      </c>
      <c r="G14">
        <f>IF(D14=0,"",F14/D14)</f>
      </c>
      <c r="J14">
        <f>IF(H14=0,"",I14/H14)</f>
      </c>
      <c r="M14">
        <f>IF(K14=0,"",L14/K14)</f>
      </c>
      <c r="P14">
        <f>IF(N14=0,"",O14/N14)</f>
      </c>
    </row>
    <row r="15">
      <c r="A15" t="inlineStr">
        <is>
          <t>W12</t>
        </is>
      </c>
      <c r="B15" s="1">
        <v>46287</v>
      </c>
      <c r="C15">
        <v>0</v>
      </c>
      <c r="D15">
        <v>0</v>
      </c>
      <c r="F15">
        <v>0</v>
      </c>
      <c r="H15">
        <v>0</v>
      </c>
      <c r="I15">
        <v>0</v>
      </c>
      <c r="K15">
        <v>0</v>
      </c>
      <c r="L15">
        <v>0</v>
      </c>
      <c r="N15">
        <v>0</v>
      </c>
      <c r="O15">
        <v>0</v>
      </c>
      <c r="Q15">
        <v>0</v>
      </c>
      <c r="R15" t="inlineStr">
        <is>
          <t/>
        </is>
      </c>
      <c r="E15">
        <f>IF(C15=0,"",D15/C15)</f>
      </c>
      <c r="G15">
        <f>IF(D15=0,"",F15/D15)</f>
      </c>
      <c r="J15">
        <f>IF(H15=0,"",I15/H15)</f>
      </c>
      <c r="M15">
        <f>IF(K15=0,"",L15/K15)</f>
      </c>
      <c r="P15">
        <f>IF(N15=0,"",O15/N15)</f>
      </c>
    </row>
    <row r="16" s="6" customFormat="1">
      <c r="A16" t="inlineStr">
        <is>
          <t>12-WK TOTAL / AVG</t>
        </is>
      </c>
      <c r="C16">
        <f>SUM(C4:C15)</f>
      </c>
      <c r="D16">
        <f>SUM(D4:D15)</f>
      </c>
      <c r="F16">
        <f>SUM(F4:F15)</f>
      </c>
      <c r="H16">
        <f>SUM(H4:H15)</f>
      </c>
      <c r="I16">
        <f>SUM(I4:I15)</f>
      </c>
      <c r="K16">
        <f>SUM(K4:K15)</f>
      </c>
      <c r="L16">
        <f>SUM(L4:L15)</f>
      </c>
      <c r="N16">
        <f>SUM(N4:N15)</f>
      </c>
      <c r="O16">
        <f>SUM(O4:O15)</f>
      </c>
      <c r="Q16">
        <f>SUM(Q4:Q15)</f>
      </c>
      <c r="E16">
        <f>IFERROR(AVERAGEIF(E4:E15,"&gt;0"),"")</f>
      </c>
      <c r="G16">
        <f>IFERROR(AVERAGEIF(G4:G15,"&gt;0"),"")</f>
      </c>
      <c r="J16">
        <f>IFERROR(AVERAGEIF(J4:J15,"&gt;0"),"")</f>
      </c>
      <c r="M16">
        <f>IFERROR(AVERAGEIF(M4:M15,"&gt;0"),"")</f>
      </c>
      <c r="P16">
        <f>IFERROR(AVERAGEIF(P4:P15,"&gt;0"),"")</f>
      </c>
    </row>
  </sheetData>
  <mergeCells>
    <mergeCell ref="A1:R1"/>
    <mergeCell ref="A16:B16"/>
  </mergeCell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 s="3" customFormat="1">
      <c r="A1" t="inlineStr" s="3">
        <is>
          <t>ALIF AGENCY - PIPELINE VALUE - Weekly Stage Breakdown - All values USD</t>
        </is>
      </c>
    </row>
    <row r="2" s="4" customFormat="1">
      <c r="A2" t="inlineStr">
        <is>
          <t>WEEK</t>
        </is>
      </c>
      <c r="B2" t="inlineStr">
        <is>
          <t>WEEK START</t>
        </is>
      </c>
      <c r="C2" t="inlineStr">
        <is>
          <t>TOTAL PIPELINE</t>
        </is>
      </c>
      <c r="D2" t="inlineStr">
        <is>
          <t>POS REPLY STAGE</t>
        </is>
      </c>
      <c r="E2" t="inlineStr">
        <is>
          <t>MTG BOOKED</t>
        </is>
      </c>
      <c r="F2" t="inlineStr">
        <is>
          <t>MTG HELD</t>
        </is>
      </c>
      <c r="G2" t="inlineStr">
        <is>
          <t>PROPOSAL SENT</t>
        </is>
      </c>
      <c r="H2" t="inlineStr">
        <is>
          <t>VERBAL YES</t>
        </is>
      </c>
      <c r="I2" t="inlineStr">
        <is>
          <t>AVG DEAL USD</t>
        </is>
      </c>
      <c r="J2" t="inlineStr">
        <is>
          <t>AVG AGE DAYS</t>
        </is>
      </c>
      <c r="K2" t="inlineStr">
        <is>
          <t>STALLED 7D+</t>
        </is>
      </c>
      <c r="L2" t="inlineStr">
        <is>
          <t>DEALS WON</t>
        </is>
      </c>
      <c r="M2" t="inlineStr">
        <is>
          <t>DEALS LOST</t>
        </is>
      </c>
      <c r="N2" t="inlineStr">
        <is>
          <t>NEW MRR USD</t>
        </is>
      </c>
      <c r="O2" t="inlineStr">
        <is>
          <t>CUMUL MRR USD</t>
        </is>
      </c>
    </row>
    <row r="3">
      <c r="A3" t="inlineStr">
        <is>
          <t>W1</t>
        </is>
      </c>
      <c r="B3" s="1">
        <v>46210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C3">
        <f>SUM(D3:H3)</f>
      </c>
      <c r="O3">
        <f>N3</f>
      </c>
    </row>
    <row r="4">
      <c r="A4" t="inlineStr">
        <is>
          <t>W2</t>
        </is>
      </c>
      <c r="B4" s="1">
        <v>46217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C4">
        <f>SUM(D4:H4)</f>
      </c>
      <c r="O4">
        <f>O3+N4</f>
      </c>
    </row>
    <row r="5">
      <c r="A5" t="inlineStr">
        <is>
          <t>W3</t>
        </is>
      </c>
      <c r="B5" s="1">
        <v>46224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C5">
        <f>SUM(D5:H5)</f>
      </c>
      <c r="O5">
        <f>O4+N5</f>
      </c>
    </row>
    <row r="6">
      <c r="A6" t="inlineStr">
        <is>
          <t>W4</t>
        </is>
      </c>
      <c r="B6" s="1">
        <v>46231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C6">
        <f>SUM(D6:H6)</f>
      </c>
      <c r="O6">
        <f>O5+N6</f>
      </c>
    </row>
    <row r="7">
      <c r="A7" t="inlineStr">
        <is>
          <t>W5</t>
        </is>
      </c>
      <c r="B7" s="1">
        <v>46238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C7">
        <f>SUM(D7:H7)</f>
      </c>
      <c r="O7">
        <f>O6+N7</f>
      </c>
    </row>
    <row r="8">
      <c r="A8" t="inlineStr">
        <is>
          <t>W6</t>
        </is>
      </c>
      <c r="B8" s="1">
        <v>46245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C8">
        <f>SUM(D8:H8)</f>
      </c>
      <c r="O8">
        <f>O7+N8</f>
      </c>
    </row>
    <row r="9">
      <c r="A9" t="inlineStr">
        <is>
          <t>W7</t>
        </is>
      </c>
      <c r="B9" s="1">
        <v>46252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C9">
        <f>SUM(D9:H9)</f>
      </c>
      <c r="O9">
        <f>O8+N9</f>
      </c>
    </row>
    <row r="10">
      <c r="A10" t="inlineStr">
        <is>
          <t>W8</t>
        </is>
      </c>
      <c r="B10" s="1">
        <v>46259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C10">
        <f>SUM(D10:H10)</f>
      </c>
      <c r="O10">
        <f>O9+N10</f>
      </c>
    </row>
    <row r="11">
      <c r="A11" t="inlineStr">
        <is>
          <t>W9</t>
        </is>
      </c>
      <c r="B11" s="1">
        <v>46266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C11">
        <f>SUM(D11:H11)</f>
      </c>
      <c r="O11">
        <f>O10+N11</f>
      </c>
    </row>
    <row r="12">
      <c r="A12" t="inlineStr">
        <is>
          <t>W10</t>
        </is>
      </c>
      <c r="B12" s="1">
        <v>46273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C12">
        <f>SUM(D12:H12)</f>
      </c>
      <c r="O12">
        <f>O11+N12</f>
      </c>
    </row>
    <row r="13">
      <c r="A13" t="inlineStr">
        <is>
          <t>W11</t>
        </is>
      </c>
      <c r="B13" s="1">
        <v>46280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C13">
        <f>SUM(D13:H13)</f>
      </c>
      <c r="O13">
        <f>O12+N13</f>
      </c>
    </row>
    <row r="14">
      <c r="A14" t="inlineStr">
        <is>
          <t>W12</t>
        </is>
      </c>
      <c r="B14" s="1">
        <v>46287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C14">
        <f>SUM(D14:H14)</f>
      </c>
      <c r="O14">
        <f>O13+N14</f>
      </c>
    </row>
    <row r="15" s="6" customFormat="1">
      <c r="A15" t="inlineStr">
        <is>
          <t>12-WEEK SUMMARY</t>
        </is>
      </c>
      <c r="K15">
        <f>SUM(K3:K14)</f>
      </c>
      <c r="L15">
        <f>SUM(L3:L14)</f>
      </c>
      <c r="M15">
        <f>SUM(M3:M14)</f>
      </c>
      <c r="N15">
        <f>SUM(N3:N14)</f>
      </c>
      <c r="O15">
        <f>O14</f>
      </c>
    </row>
  </sheetData>
  <mergeCells>
    <mergeCell ref="A1:O1"/>
    <mergeCell ref="A15:B15"/>
  </mergeCells>
</worksheet>
</file>

<file path=xl/worksheets/sheet4.xml><?xml version="1.0" encoding="utf-8"?>
<worksheet xmlns="http://schemas.openxmlformats.org/spreadsheetml/2006/main">
  <cols>
    <col min="1" max="1" width="36"/>
    <col min="2" max="2" width="18"/>
    <col min="3" max="3" width="44"/>
  </cols>
  <sheetData>
    <row r="1" s="3" customFormat="1">
      <c r="A1" t="inlineStr" s="3">
        <is>
          <t>ALIF AGENCY - HEAD OF SALES DASHBOARD - All values USD</t>
        </is>
      </c>
    </row>
    <row r="2" s="7" customFormat="1">
      <c r="A2" t="inlineStr" s="7">
        <is>
          <t>TARGETS    &gt;10%  &gt;70%  &gt;50%      &gt;30%   </t>
        </is>
      </c>
    </row>
    <row r="4" s="4" customFormat="1">
      <c r="A4" t="inlineStr">
        <is>
          <t>OUTREACH - 12-WEEK TOTALS</t>
        </is>
      </c>
    </row>
    <row r="5">
      <c r="A5" t="inlineStr">
        <is>
          <t>Total Positive Replies</t>
        </is>
      </c>
      <c r="B5">
        <f>'2 - Conversion'!C16</f>
      </c>
      <c r="C5" t="inlineStr">
        <is>
          <t>All channels combined</t>
        </is>
      </c>
    </row>
    <row r="6">
      <c r="A6" t="inlineStr">
        <is>
          <t>Total Meetings Booked</t>
        </is>
      </c>
      <c r="B6">
        <f>'2 - Conversion'!D16</f>
      </c>
      <c r="C6" t="inlineStr">
        <is>
          <t>Target: 60+ over 12 weeks</t>
        </is>
      </c>
    </row>
    <row r="7">
      <c r="A7" t="inlineStr">
        <is>
          <t>Total Proposals Sent</t>
        </is>
      </c>
      <c r="B7">
        <f>'2 - Conversion'!N16</f>
      </c>
      <c r="C7" t="inlineStr">
        <is>
          <t/>
        </is>
      </c>
    </row>
    <row r="9" s="4" customFormat="1">
      <c r="A9" t="inlineStr">
        <is>
          <t>CONVERSION - 12-WEEK AVERAGES</t>
        </is>
      </c>
    </row>
    <row r="10">
      <c r="A10" t="inlineStr">
        <is>
          <t>Reply to Booking Rate</t>
        </is>
      </c>
      <c r="B10">
        <f>'2 - Conversion'!E16</f>
      </c>
      <c r="C10" t="inlineStr">
        <is>
          <t>TARGET 10% | Baseline 0.2% - THE ONE METRIC</t>
        </is>
      </c>
    </row>
    <row r="11">
      <c r="A11" t="inlineStr">
        <is>
          <t>Show Rate</t>
        </is>
      </c>
      <c r="B11">
        <f>'2 - Conversion'!G16</f>
      </c>
      <c r="C11" t="inlineStr">
        <is>
          <t>Target 70%</t>
        </is>
      </c>
    </row>
    <row r="12">
      <c r="A12" t="inlineStr">
        <is>
          <t>No-Show Recovery</t>
        </is>
      </c>
      <c r="B12">
        <f>'2 - Conversion'!J16</f>
      </c>
      <c r="C12" t="inlineStr">
        <is>
          <t>Target 50%</t>
        </is>
      </c>
    </row>
    <row r="13">
      <c r="A13" t="inlineStr">
        <is>
          <t>Qualification Rate</t>
        </is>
      </c>
      <c r="B13">
        <f>'2 - Conversion'!M16</f>
      </c>
      <c r="C13" t="inlineStr">
        <is>
          <t>Target 80%</t>
        </is>
      </c>
    </row>
    <row r="14">
      <c r="A14" t="inlineStr">
        <is>
          <t>Proposal Win Rate</t>
        </is>
      </c>
      <c r="B14">
        <f>'2 - Conversion'!P16</f>
      </c>
      <c r="C14" t="inlineStr">
        <is>
          <t>Target 30%</t>
        </is>
      </c>
    </row>
    <row r="16" s="4" customFormat="1">
      <c r="A16" t="inlineStr">
        <is>
          <t>PIPELINE - 12-WEEK TOTALS (USD)</t>
        </is>
      </c>
    </row>
    <row r="17">
      <c r="A17" t="inlineStr">
        <is>
          <t>Deals Won</t>
        </is>
      </c>
      <c r="B17">
        <f>'3 - Pipeline'!L15</f>
      </c>
      <c r="C17" t="inlineStr">
        <is>
          <t/>
        </is>
      </c>
    </row>
    <row r="18">
      <c r="A18" t="inlineStr">
        <is>
          <t>Deals Lost</t>
        </is>
      </c>
      <c r="B18">
        <f>'3 - Pipeline'!M15</f>
      </c>
      <c r="C18" t="inlineStr">
        <is>
          <t/>
        </is>
      </c>
    </row>
    <row r="19">
      <c r="A19" t="inlineStr">
        <is>
          <t>Total New MRR Added</t>
        </is>
      </c>
      <c r="B19">
        <f>'3 - Pipeline'!N15</f>
      </c>
      <c r="C19" t="inlineStr">
        <is>
          <t>USD</t>
        </is>
      </c>
    </row>
    <row r="20">
      <c r="A20" t="inlineStr">
        <is>
          <t>Cumulative MRR Week 12</t>
        </is>
      </c>
      <c r="B20">
        <f>'3 - Pipeline'!O14</f>
      </c>
      <c r="C20" t="inlineStr">
        <is>
          <t>USD - running balance</t>
        </is>
      </c>
    </row>
    <row r="22" s="4" customFormat="1">
      <c r="A22" t="inlineStr">
        <is>
          <t>THE 5 FUNNEL RATIOS - REVIEW EVERY MONDAY</t>
        </is>
      </c>
    </row>
    <row r="23">
      <c r="A23" t="inlineStr">
        <is>
          <t>1. Positive Reply to Booking</t>
        </is>
      </c>
      <c r="B23">
        <f>'2 - Conversion'!E16</f>
      </c>
      <c r="C23" t="inlineStr">
        <is>
          <t>Target 10%</t>
        </is>
      </c>
    </row>
    <row r="24">
      <c r="A24" t="inlineStr">
        <is>
          <t>2. Booked to Held</t>
        </is>
      </c>
      <c r="B24">
        <f>'2 - Conversion'!G16</f>
      </c>
      <c r="C24" t="inlineStr">
        <is>
          <t>Target 70%</t>
        </is>
      </c>
    </row>
    <row r="25">
      <c r="A25" t="inlineStr">
        <is>
          <t>3. Held to Qualified</t>
        </is>
      </c>
      <c r="B25">
        <f>'2 - Conversion'!M16</f>
      </c>
      <c r="C25" t="inlineStr">
        <is>
          <t>Target 80%</t>
        </is>
      </c>
    </row>
    <row r="26">
      <c r="A26" t="inlineStr">
        <is>
          <t>4. Qualified to Proposal</t>
        </is>
      </c>
      <c r="C26" t="inlineStr">
        <is>
          <t>Aim 90%+</t>
        </is>
      </c>
    </row>
    <row r="27">
      <c r="A27" t="inlineStr">
        <is>
          <t>5. Proposal to Won</t>
        </is>
      </c>
      <c r="B27">
        <f>'2 - Conversion'!P16</f>
      </c>
      <c r="C27" t="inlineStr">
        <is>
          <t>Target 30%</t>
        </is>
      </c>
    </row>
    <row r="29" s="4" customFormat="1">
      <c r="A29" t="inlineStr">
        <is>
          <t>HOW TO USE</t>
        </is>
      </c>
    </row>
    <row r="30">
      <c r="A30" t="inlineStr">
        <is>
          <t>Sheet 1 - Outreach: Fill daily Mon-Fri. Cols F G H = enter as decimals (0.35 = 35%). L and O auto-calculate.</t>
        </is>
      </c>
    </row>
    <row r="31">
      <c r="A31" t="inlineStr">
        <is>
          <t>Sheet 2 - Conversion: Fill each Monday with previous week totals. Rate columns (E G J M P) auto-calculate.</t>
        </is>
      </c>
    </row>
    <row r="32">
      <c r="A32" t="inlineStr">
        <is>
          <t>Sheet 3 - Pipeline: Enter USD deal values by stage each Monday. Cumulative MRR (col O) chains automatically.</t>
        </is>
      </c>
    </row>
    <row r="33">
      <c r="A33" t="inlineStr">
        <is>
          <t>All currency in USD. Convert at prevailing rate before entry regardless of deal geography.</t>
        </is>
      </c>
    </row>
    <row r="34">
      <c r="A34" t="inlineStr">
        <is>
          <t>THE ONE METRIC to move first: Reply-to-Booking % (Sheet 2 col E). Baseline 0.2%. Target 10%+.</t>
        </is>
      </c>
    </row>
  </sheetData>
  <mergeCells>
    <mergeCell ref="A1:F1"/>
    <mergeCell ref="A2:F2"/>
    <mergeCell ref="A4:F4"/>
    <mergeCell ref="A9:F9"/>
    <mergeCell ref="A16:F16"/>
    <mergeCell ref="A22:F22"/>
    <mergeCell ref="A29:F29"/>
    <mergeCell ref="A30:F30"/>
    <mergeCell ref="A31:F31"/>
    <mergeCell ref="A32:F32"/>
    <mergeCell ref="A33:F33"/>
    <mergeCell ref="A34:F34"/>
  </mergeCells>
</worksheet>
</file>